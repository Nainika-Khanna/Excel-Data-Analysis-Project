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khann\OneDrive\Desktop\"/>
    </mc:Choice>
  </mc:AlternateContent>
  <xr:revisionPtr revIDLastSave="0" documentId="8_{492C6E26-4C39-4C74-BFEE-2060CFA619B3}" xr6:coauthVersionLast="47" xr6:coauthVersionMax="47" xr10:uidLastSave="{00000000-0000-0000-0000-000000000000}"/>
  <bookViews>
    <workbookView xWindow="-108" yWindow="-108" windowWidth="23256" windowHeight="12456" firstSheet="1" activeTab="3" xr2:uid="{C93F070D-C8EC-495F-9413-BD6AB75300D3}"/>
  </bookViews>
  <sheets>
    <sheet name="Chart1" sheetId="6" r:id="rId1"/>
    <sheet name="Analysis_Table" sheetId="1" r:id="rId2"/>
    <sheet name="Pivots' Tables" sheetId="10" r:id="rId3"/>
    <sheet name="DASHBOARD" sheetId="9" r:id="rId4"/>
    <sheet name="Insight Stats" sheetId="2" r:id="rId5"/>
  </sheets>
  <definedNames>
    <definedName name="Slicer_country">#N/A</definedName>
    <definedName name="Slicer_model">#N/A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R15" i="1"/>
  <c r="R14" i="1"/>
  <c r="R13" i="1"/>
  <c r="R12" i="1"/>
  <c r="O1001" i="1"/>
  <c r="P1001" i="1" s="1"/>
  <c r="O2"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U7" i="1"/>
  <c r="T7" i="1"/>
  <c r="S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tc={04D35090-1C9B-4F14-8861-8B7DB0403C87}</author>
    <author>tc={85E8C5CC-C6D3-4A2B-9969-31786A1EA915}</author>
    <author>tc={3819F25F-4702-4294-B456-53A5E488E39E}</author>
    <author>tc={CB3D6855-9C43-4F69-B1C9-84E1BDA5EBD7}</author>
    <author>Nainika Khanna</author>
  </authors>
  <commentList>
    <comment ref="R7" authorId="0" shapeId="0" xr:uid="{04D35090-1C9B-4F14-8861-8B7DB0403C87}">
      <text>
        <t xml:space="preserve">[Threaded comment]
Your version of Excel allows you to read this threaded comment; however, any edits to it will get removed if the file is opened in a newer version of Excel. Learn more: https://go.microsoft.com/fwlink/?linkid=870924
Comment:
    Total SUM of Units sold
</t>
      </text>
    </comment>
    <comment ref="S7" authorId="1" shapeId="0" xr:uid="{85E8C5CC-C6D3-4A2B-9969-31786A1EA915}">
      <text>
        <t>[Threaded comment]
Your version of Excel allows you to read this threaded comment; however, any edits to it will get removed if the file is opened in a newer version of Excel. Learn more: https://go.microsoft.com/fwlink/?linkid=870924
Comment:
    Sum total of price</t>
      </text>
    </comment>
    <comment ref="T7" authorId="2" shapeId="0" xr:uid="{3819F25F-4702-4294-B456-53A5E488E39E}">
      <text>
        <t>[Threaded comment]
Your version of Excel allows you to read this threaded comment; however, any edits to it will get removed if the file is opened in a newer version of Excel. Learn more: https://go.microsoft.com/fwlink/?linkid=870924
Comment:
    Sum total of marketing_spend_inr</t>
      </text>
    </comment>
    <comment ref="U7" authorId="3" shapeId="0" xr:uid="{CB3D6855-9C43-4F69-B1C9-84E1BDA5EBD7}">
      <text>
        <t>[Threaded comment]
Your version of Excel allows you to read this threaded comment; however, any edits to it will get removed if the file is opened in a newer version of Excel. Learn more: https://go.microsoft.com/fwlink/?linkid=870924
Comment:
    Avg of dealership_count</t>
      </text>
    </comment>
    <comment ref="R12" authorId="4" shapeId="0" xr:uid="{8A1660C2-132B-47C8-A29F-5182F6D0B7E1}">
      <text>
        <r>
          <rPr>
            <b/>
            <sz val="9"/>
            <color indexed="81"/>
            <rFont val="Tahoma"/>
            <family val="2"/>
          </rPr>
          <t>Nainika Khanna:</t>
        </r>
        <r>
          <rPr>
            <sz val="9"/>
            <color indexed="81"/>
            <rFont val="Tahoma"/>
            <family val="2"/>
          </rPr>
          <t xml:space="preserve">
Average of Price
</t>
        </r>
      </text>
    </comment>
    <comment ref="R13" authorId="4" shapeId="0" xr:uid="{443E8173-2BF2-4126-965D-412EA9B124FD}">
      <text>
        <r>
          <rPr>
            <b/>
            <sz val="9"/>
            <color indexed="81"/>
            <rFont val="Tahoma"/>
            <family val="2"/>
          </rPr>
          <t>Nainika Khanna:</t>
        </r>
        <r>
          <rPr>
            <sz val="9"/>
            <color indexed="81"/>
            <rFont val="Tahoma"/>
            <family val="2"/>
          </rPr>
          <t xml:space="preserve">
Max price
</t>
        </r>
      </text>
    </comment>
    <comment ref="R14" authorId="4" shapeId="0" xr:uid="{D4EB267D-1707-44A5-88AB-A38466B4E971}">
      <text>
        <r>
          <rPr>
            <b/>
            <sz val="9"/>
            <color indexed="81"/>
            <rFont val="Tahoma"/>
            <family val="2"/>
          </rPr>
          <t>Nainika Khanna:</t>
        </r>
        <r>
          <rPr>
            <sz val="9"/>
            <color indexed="81"/>
            <rFont val="Tahoma"/>
            <family val="2"/>
          </rPr>
          <t xml:space="preserve">
Min price
</t>
        </r>
      </text>
    </comment>
    <comment ref="R15" authorId="4" shapeId="0" xr:uid="{D71B8535-A0D6-408F-8B3A-C1E533936E5D}">
      <text>
        <r>
          <rPr>
            <b/>
            <sz val="9"/>
            <color indexed="81"/>
            <rFont val="Tahoma"/>
            <family val="2"/>
          </rPr>
          <t>Nainika Khanna:</t>
        </r>
        <r>
          <rPr>
            <sz val="9"/>
            <color indexed="81"/>
            <rFont val="Tahoma"/>
            <family val="2"/>
          </rPr>
          <t xml:space="preserve">
Standard deviation of Price
</t>
        </r>
      </text>
    </comment>
  </commentList>
</comments>
</file>

<file path=xl/sharedStrings.xml><?xml version="1.0" encoding="utf-8"?>
<sst xmlns="http://schemas.openxmlformats.org/spreadsheetml/2006/main" count="5170" uniqueCount="58">
  <si>
    <t>year</t>
  </si>
  <si>
    <t>month</t>
  </si>
  <si>
    <t>country</t>
  </si>
  <si>
    <t>model</t>
  </si>
  <si>
    <t>segment</t>
  </si>
  <si>
    <t>engine_type</t>
  </si>
  <si>
    <t>dealership_count</t>
  </si>
  <si>
    <t>fuel_price_usd</t>
  </si>
  <si>
    <t>gdp_growth_percent</t>
  </si>
  <si>
    <t>interest_rate_percent</t>
  </si>
  <si>
    <t>competition_index</t>
  </si>
  <si>
    <t>units_sold</t>
  </si>
  <si>
    <t>Australia</t>
  </si>
  <si>
    <t>X1</t>
  </si>
  <si>
    <t>SUV</t>
  </si>
  <si>
    <t>Petrol</t>
  </si>
  <si>
    <t>i4</t>
  </si>
  <si>
    <t>Sedan</t>
  </si>
  <si>
    <t>Electric</t>
  </si>
  <si>
    <t>USA</t>
  </si>
  <si>
    <t>5 Series</t>
  </si>
  <si>
    <t>Hybrid</t>
  </si>
  <si>
    <t>i7</t>
  </si>
  <si>
    <t>Brazil</t>
  </si>
  <si>
    <t>X5</t>
  </si>
  <si>
    <t>Diesel</t>
  </si>
  <si>
    <t>China</t>
  </si>
  <si>
    <t>X7</t>
  </si>
  <si>
    <t>India</t>
  </si>
  <si>
    <t>3 Series</t>
  </si>
  <si>
    <t>UK</t>
  </si>
  <si>
    <t>7 Series</t>
  </si>
  <si>
    <t>X3</t>
  </si>
  <si>
    <t>Canada</t>
  </si>
  <si>
    <t>Germany</t>
  </si>
  <si>
    <t>France</t>
  </si>
  <si>
    <t>Japan</t>
  </si>
  <si>
    <t>iX</t>
  </si>
  <si>
    <t>price_inr</t>
  </si>
  <si>
    <t>marketing_spend_inr</t>
  </si>
  <si>
    <t>Grand Total</t>
  </si>
  <si>
    <t>Sum of units_sold</t>
  </si>
  <si>
    <t>Sum of price_inr</t>
  </si>
  <si>
    <t>purchase_type</t>
  </si>
  <si>
    <t>Final Amount</t>
  </si>
  <si>
    <t>Formula1</t>
  </si>
  <si>
    <t>Mid</t>
  </si>
  <si>
    <t>Discount</t>
  </si>
  <si>
    <t>Premium</t>
  </si>
  <si>
    <t>EMI</t>
  </si>
  <si>
    <t>Economy</t>
  </si>
  <si>
    <t>Full</t>
  </si>
  <si>
    <r>
      <t xml:space="preserve">
</t>
    </r>
    <r>
      <rPr>
        <b/>
        <sz val="22"/>
        <color theme="3"/>
        <rFont val="Bell MT"/>
        <family val="1"/>
      </rPr>
      <t xml:space="preserve">              Insights</t>
    </r>
    <r>
      <rPr>
        <b/>
        <sz val="16"/>
        <color theme="3"/>
        <rFont val="Bell MT"/>
        <family val="1"/>
      </rPr>
      <t xml:space="preserve">
Total Sales: ₹ 27,93,63,047 
Average Sales: ₹ 76,497.18 
Maximum Sales: ₹ 2,53,32,406 
Minimum Sales: ₹ 35,060 
Total Units Sold: 6,32,753 
Average Units Sold: 786 
Maximum Units Sold: 1,19,817 
Minimum Units Sold: 37 
Total Marketing Spend: ₹ 3,72,61,55,355 
Average Marketing Spend: ₹ 4,94,20,380
EMI Count: 786 
Discount Count: 37 
EMI Revenue: ₹ 37,26,15,535 
Discount Revenue: ₹ 4,34,20,380 </t>
    </r>
  </si>
  <si>
    <t>Country</t>
  </si>
  <si>
    <t>Models</t>
  </si>
  <si>
    <t>Engine Type</t>
  </si>
  <si>
    <t>Purchase Type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</si>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</sst>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3"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9"/>
      <color indexed="81"/>
      <name val="Tahoma"/>
      <family val="2"/>
    </font>
    <font>
      <b/>
      <sz val="9"/>
      <color indexed="81"/>
      <name val="Tahoma"/>
      <family val="2"/>
    </font>
    <font>
      <b/>
      <sz val="18"/>
      <color theme="3"/>
      <name val="Bell MT"/>
      <family val="1"/>
    </font>
    <font>
      <b/>
      <sz val="16"/>
      <color theme="3"/>
      <name val="Bell MT"/>
      <family val="1"/>
    </font>
    <font>
      <b/>
      <sz val="22"/>
      <color theme="3"/>
      <name val="Bell M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2"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style="thin">
        <color theme="9"/>
      </right>
      <top style="double">
        <color theme="9"/>
      </top>
      <bottom style="thin">
        <color theme="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16" fillId="0" borderId="0" xfId="0" applyFont="1" applyAlignment="1">
      <alignment vertical="top"/>
    </xf>
    <xf numFmtId="0" fontId="16" fillId="0" borderId="0" xfId="0" applyFont="1" applyAlignment="1">
      <alignment horizontal="center" vertical="top"/>
    </xf>
    <xf numFmtId="0" fontId="0" fillId="0" borderId="0" xfId="0" applyAlignment="1">
      <alignment horizontal="center" vertical="top"/>
    </xf>
    <xf numFmtId="164" fontId="0" fillId="0" borderId="0" xfId="0" applyNumberFormat="1" applyAlignment="1">
      <alignment horizontal="center" vertical="top"/>
    </xf>
    <xf numFmtId="164" fontId="16" fillId="0" borderId="0" xfId="0" applyNumberFormat="1" applyFont="1" applyAlignment="1">
      <alignment horizontal="center" vertical="top"/>
    </xf>
    <xf numFmtId="164" fontId="16" fillId="0" borderId="10" xfId="0" applyNumberFormat="1" applyFont="1" applyBorder="1" applyAlignment="1">
      <alignment horizontal="center" vertical="top"/>
    </xf>
    <xf numFmtId="0" fontId="16" fillId="0" borderId="10" xfId="0" applyFont="1" applyBorder="1" applyAlignment="1">
      <alignment horizontal="center" vertical="top"/>
    </xf>
    <xf numFmtId="0" fontId="0" fillId="0" borderId="0" xfId="0" applyAlignment="1">
      <alignment vertical="center" wrapText="1"/>
    </xf>
    <xf numFmtId="0" fontId="16" fillId="0" borderId="0" xfId="0" applyFont="1" applyAlignment="1">
      <alignment vertical="top" wrapText="1"/>
    </xf>
    <xf numFmtId="0" fontId="0" fillId="0" borderId="0" xfId="0" applyAlignment="1">
      <alignment horizontal="left"/>
    </xf>
    <xf numFmtId="2" fontId="0" fillId="0" borderId="0" xfId="0" applyNumberFormat="1" applyAlignment="1">
      <alignment horizontal="center" vertical="top"/>
    </xf>
    <xf numFmtId="164" fontId="0" fillId="0" borderId="0" xfId="0" applyNumberFormat="1"/>
    <xf numFmtId="0" fontId="0" fillId="0" borderId="0" xfId="0" pivotButton="1"/>
    <xf numFmtId="0" fontId="0" fillId="33" borderId="0" xfId="0" applyFill="1"/>
    <xf numFmtId="0" fontId="20" fillId="34" borderId="0" xfId="0" applyFont="1" applyFill="1" applyAlignment="1">
      <alignment horizontal="left" vertical="top" wrapText="1"/>
    </xf>
    <xf numFmtId="0" fontId="21" fillId="34" borderId="0" xfId="0" applyFont="1" applyFill="1" applyAlignment="1">
      <alignment horizontal="left" vertical="top"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4" formatCode="&quot;₹&quot;\ #,##0.00"/>
      <alignment horizontal="center" vertical="top" textRotation="0" wrapText="0" indent="0" justifyLastLine="0" shrinkToFit="0" readingOrder="0"/>
    </dxf>
    <dxf>
      <numFmt numFmtId="164" formatCode="&quot;₹&quot;\ #,##0.00"/>
      <alignment horizontal="center" vertical="top" textRotation="0" wrapText="0" indent="0" justifyLastLine="0" shrinkToFit="0" readingOrder="0"/>
    </dxf>
    <dxf>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4" formatCode="&quot;₹&quot;\ #,##0.00"/>
      <alignment horizontal="center" vertical="top" textRotation="0" wrapText="0" indent="0" justifyLastLine="0" shrinkToFit="0" readingOrder="0"/>
    </dxf>
    <dxf>
      <numFmt numFmtId="164" formatCode="&quot;₹&quot;\ #,##0.00"/>
      <alignment horizontal="center" vertical="top" textRotation="0" wrapText="0" indent="0" justifyLastLine="0" shrinkToFit="0" readingOrder="0"/>
    </dxf>
    <dxf>
      <numFmt numFmtId="164" formatCode="&quot;₹&quot;\ #,##0.00"/>
      <alignment horizontal="center" vertical="top" textRotation="0" wrapText="0" indent="0" justifyLastLine="0" shrinkToFit="0" readingOrder="0"/>
    </dxf>
    <dxf>
      <numFmt numFmtId="164" formatCode="&quot;₹&quot;\ #,##0.00"/>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2.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4.xml"/><Relationship Id="rId10" Type="http://schemas.openxmlformats.org/officeDocument/2006/relationships/theme" Target="theme/theme1.xml"/><Relationship Id="rId4" Type="http://schemas.openxmlformats.org/officeDocument/2006/relationships/worksheet" Target="worksheets/sheet3.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101717648"/>
        <c:axId val="2101716688"/>
      </c:barChart>
      <c:catAx>
        <c:axId val="21017176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716688"/>
        <c:crosses val="autoZero"/>
        <c:auto val="1"/>
        <c:lblAlgn val="ctr"/>
        <c:lblOffset val="100"/>
        <c:noMultiLvlLbl val="0"/>
      </c:catAx>
      <c:valAx>
        <c:axId val="210171668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71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[xl.xlsx]Pivots' Tables!PivotTable1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Units Sold by Country</a:t>
            </a:r>
            <a:endParaRPr lang="en-IN"/>
          </a:p>
        </c:rich>
      </c:tx>
      <c:layout>
        <c:manualLayout>
          <c:xMode val="edge"/>
          <c:yMode val="edge"/>
          <c:x val="0.37544127427355017"/>
          <c:y val="6.095085153266757E-2"/>
        </c:manualLayout>
      </c:layout>
      <c:overlay val="0"/>
      <c:spPr>
        <a:noFill/>
        <a:ln>
          <a:solidFill>
            <a:schemeClr val="tx1"/>
          </a:solidFill>
        </a:ln>
        <a:effectLst/>
      </c:sp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delete val="1"/>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Tables'!$C$3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 Tables'!$B$4:$B$15</c:f>
              <c:strCache>
                <c:ptCount val="11"/>
                <c:pt idx="0">
                  <c:v>UK</c:v>
                </c:pt>
                <c:pt idx="1">
                  <c:v>India</c:v>
                </c:pt>
                <c:pt idx="2">
                  <c:v>China</c:v>
                </c:pt>
                <c:pt idx="3">
                  <c:v>Germany</c:v>
                </c:pt>
                <c:pt idx="4">
                  <c:v>Japan</c:v>
                </c:pt>
                <c:pt idx="5">
                  <c:v>France</c:v>
                </c:pt>
                <c:pt idx="6">
                  <c:v>Brazil</c:v>
                </c:pt>
                <c:pt idx="7">
                  <c:v>USA</c:v>
                </c:pt>
                <c:pt idx="8">
                  <c:v>Australia</c:v>
                </c:pt>
                <c:pt idx="9">
                  <c:v>Canada</c:v>
                </c:pt>
                <c:pt idx="10">
                  <c:v>(blank)</c:v>
                </c:pt>
              </c:strCache>
            </c:strRef>
          </c:cat>
          <c:val>
            <c:numRef>
              <c:f>'Pivots'' Tables'!$C$4:$C$15</c:f>
              <c:numCache>
                <c:formatCode>General</c:formatCode>
                <c:ptCount val="11"/>
                <c:pt idx="0">
                  <c:v>82232</c:v>
                </c:pt>
                <c:pt idx="1">
                  <c:v>78490</c:v>
                </c:pt>
                <c:pt idx="2">
                  <c:v>69969</c:v>
                </c:pt>
                <c:pt idx="3">
                  <c:v>69508</c:v>
                </c:pt>
                <c:pt idx="4">
                  <c:v>68679</c:v>
                </c:pt>
                <c:pt idx="5">
                  <c:v>59987</c:v>
                </c:pt>
                <c:pt idx="6">
                  <c:v>58195</c:v>
                </c:pt>
                <c:pt idx="7">
                  <c:v>55916</c:v>
                </c:pt>
                <c:pt idx="8">
                  <c:v>55377</c:v>
                </c:pt>
                <c:pt idx="9">
                  <c:v>49084</c:v>
                </c:pt>
              </c:numCache>
            </c:numRef>
          </c:val>
          <c:extLst>
            <c:ext xmlns:c16="http://schemas.microsoft.com/office/drawing/2014/chart" uri="{C3380CC4-5D6E-409C-BE32-E72D297353CC}">
              <c16:uniqueId val="{00000004-5943-4634-9818-D93B53368F37}"/>
            </c:ext>
          </c:extLst>
        </c:ser>
        <c:dLbls>
          <c:dLblPos val="outEnd"/>
          <c:showLegendKey val="0"/>
          <c:showVal val="1"/>
          <c:showCatName val="0"/>
          <c:showSerName val="0"/>
          <c:showPercent val="0"/>
          <c:showBubbleSize val="0"/>
        </c:dLbls>
        <c:gapWidth val="100"/>
        <c:overlap val="-24"/>
        <c:axId val="911155951"/>
        <c:axId val="911156911"/>
      </c:barChart>
      <c:catAx>
        <c:axId val="91115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56911"/>
        <c:crosses val="autoZero"/>
        <c:auto val="1"/>
        <c:lblAlgn val="ctr"/>
        <c:lblOffset val="100"/>
        <c:noMultiLvlLbl val="0"/>
      </c:catAx>
      <c:valAx>
        <c:axId val="91115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55951"/>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[xl.xlsx]Pivots' Tables!PivotTable2</c:name>
    <c:fmtId val="1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Sales Trend Across Car Models</a:t>
            </a:r>
          </a:p>
        </c:rich>
      </c:tx>
      <c:overlay val="0"/>
      <c:spPr>
        <a:noFill/>
        <a:ln>
          <a:solidFill>
            <a:schemeClr val="tx1"/>
          </a:solid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Tables'!$G$3</c:f>
              <c:strCache>
                <c:ptCount val="1"/>
                <c:pt idx="0">
                  <c:v>Total</c:v>
                </c:pt>
              </c:strCache>
            </c:strRef>
          </c:tx>
          <c:spPr>
            <a:ln w="28575" cap="rnd">
              <a:solidFill>
                <a:schemeClr val="accent1"/>
              </a:solidFill>
              <a:round/>
            </a:ln>
            <a:effectLst/>
          </c:spPr>
          <c:marker>
            <c:symbol val="none"/>
          </c:marker>
          <c:cat>
            <c:strRef>
              <c:f>'Pivots'' Tables'!$F$4:$F$15</c:f>
              <c:strCache>
                <c:ptCount val="11"/>
                <c:pt idx="0">
                  <c:v>5 Series</c:v>
                </c:pt>
                <c:pt idx="1">
                  <c:v>7 Series</c:v>
                </c:pt>
                <c:pt idx="2">
                  <c:v>Formula1</c:v>
                </c:pt>
                <c:pt idx="3">
                  <c:v>i4</c:v>
                </c:pt>
                <c:pt idx="4">
                  <c:v>i7</c:v>
                </c:pt>
                <c:pt idx="5">
                  <c:v>iX</c:v>
                </c:pt>
                <c:pt idx="6">
                  <c:v>X1</c:v>
                </c:pt>
                <c:pt idx="7">
                  <c:v>X3</c:v>
                </c:pt>
                <c:pt idx="8">
                  <c:v>X5</c:v>
                </c:pt>
                <c:pt idx="9">
                  <c:v>X7</c:v>
                </c:pt>
                <c:pt idx="10">
                  <c:v>(blank)</c:v>
                </c:pt>
              </c:strCache>
            </c:strRef>
          </c:cat>
          <c:val>
            <c:numRef>
              <c:f>'Pivots'' Tables'!$G$4:$G$15</c:f>
              <c:numCache>
                <c:formatCode>General</c:formatCode>
                <c:ptCount val="11"/>
                <c:pt idx="0">
                  <c:v>67331</c:v>
                </c:pt>
                <c:pt idx="1">
                  <c:v>73624</c:v>
                </c:pt>
                <c:pt idx="3">
                  <c:v>80905</c:v>
                </c:pt>
                <c:pt idx="4">
                  <c:v>74452</c:v>
                </c:pt>
                <c:pt idx="5">
                  <c:v>64554</c:v>
                </c:pt>
                <c:pt idx="6">
                  <c:v>69414</c:v>
                </c:pt>
                <c:pt idx="7">
                  <c:v>83772</c:v>
                </c:pt>
                <c:pt idx="8">
                  <c:v>74376</c:v>
                </c:pt>
                <c:pt idx="9">
                  <c:v>59009</c:v>
                </c:pt>
              </c:numCache>
            </c:numRef>
          </c:val>
          <c:smooth val="0"/>
          <c:extLst>
            <c:ext xmlns:c16="http://schemas.microsoft.com/office/drawing/2014/chart" uri="{C3380CC4-5D6E-409C-BE32-E72D297353CC}">
              <c16:uniqueId val="{00000000-1704-4D5A-A374-EE5CB7DC9DF0}"/>
            </c:ext>
          </c:extLst>
        </c:ser>
        <c:dLbls>
          <c:showLegendKey val="0"/>
          <c:showVal val="0"/>
          <c:showCatName val="0"/>
          <c:showSerName val="0"/>
          <c:showPercent val="0"/>
          <c:showBubbleSize val="0"/>
        </c:dLbls>
        <c:smooth val="0"/>
        <c:axId val="1045205823"/>
        <c:axId val="1045217823"/>
      </c:lineChart>
      <c:catAx>
        <c:axId val="1045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5217823"/>
        <c:crosses val="autoZero"/>
        <c:auto val="1"/>
        <c:lblAlgn val="ctr"/>
        <c:lblOffset val="100"/>
        <c:noMultiLvlLbl val="0"/>
      </c:catAx>
      <c:valAx>
        <c:axId val="104521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52058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[xl.xlsx]Pivots' Tables!PivotTable7</c:name>
    <c:fmtId val="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baseline="0">
                <a:solidFill>
                  <a:sysClr val="windowText" lastClr="000000">
                    <a:lumMod val="65000"/>
                    <a:lumOff val="35000"/>
                  </a:sysClr>
                </a:solidFill>
                <a:latin typeface="+mn-lt"/>
                <a:ea typeface="+mn-ea"/>
                <a:cs typeface="+mn-cs"/>
              </a:rPr>
              <a:t>Country-wise Sales &amp; Volume Analysis</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Tables'!$C$18</c:f>
              <c:strCache>
                <c:ptCount val="1"/>
                <c:pt idx="0">
                  <c:v>Sum of price_inr</c:v>
                </c:pt>
              </c:strCache>
            </c:strRef>
          </c:tx>
          <c:spPr>
            <a:solidFill>
              <a:schemeClr val="accent1"/>
            </a:solidFill>
            <a:ln>
              <a:noFill/>
            </a:ln>
            <a:effectLst/>
          </c:spPr>
          <c:invertIfNegative val="0"/>
          <c:cat>
            <c:strRef>
              <c:f>'Pivots'' Tables'!$B$19:$B$30</c:f>
              <c:strCache>
                <c:ptCount val="11"/>
                <c:pt idx="0">
                  <c:v>Australia</c:v>
                </c:pt>
                <c:pt idx="1">
                  <c:v>Brazil</c:v>
                </c:pt>
                <c:pt idx="2">
                  <c:v>Canada</c:v>
                </c:pt>
                <c:pt idx="3">
                  <c:v>China</c:v>
                </c:pt>
                <c:pt idx="4">
                  <c:v>France</c:v>
                </c:pt>
                <c:pt idx="5">
                  <c:v>Germany</c:v>
                </c:pt>
                <c:pt idx="6">
                  <c:v>India</c:v>
                </c:pt>
                <c:pt idx="7">
                  <c:v>Japan</c:v>
                </c:pt>
                <c:pt idx="8">
                  <c:v>UK</c:v>
                </c:pt>
                <c:pt idx="9">
                  <c:v>USA</c:v>
                </c:pt>
                <c:pt idx="10">
                  <c:v>(blank)</c:v>
                </c:pt>
              </c:strCache>
            </c:strRef>
          </c:cat>
          <c:val>
            <c:numRef>
              <c:f>'Pivots'' Tables'!$C$19:$C$30</c:f>
              <c:numCache>
                <c:formatCode>General</c:formatCode>
                <c:ptCount val="11"/>
                <c:pt idx="0">
                  <c:v>6715136</c:v>
                </c:pt>
                <c:pt idx="1">
                  <c:v>7409106</c:v>
                </c:pt>
                <c:pt idx="2">
                  <c:v>5826963</c:v>
                </c:pt>
                <c:pt idx="3">
                  <c:v>7777552</c:v>
                </c:pt>
                <c:pt idx="4">
                  <c:v>6580907</c:v>
                </c:pt>
                <c:pt idx="5">
                  <c:v>110882889</c:v>
                </c:pt>
                <c:pt idx="6">
                  <c:v>128293248</c:v>
                </c:pt>
                <c:pt idx="7">
                  <c:v>127130403</c:v>
                </c:pt>
                <c:pt idx="8">
                  <c:v>162412169</c:v>
                </c:pt>
                <c:pt idx="9">
                  <c:v>100639264</c:v>
                </c:pt>
              </c:numCache>
            </c:numRef>
          </c:val>
          <c:extLst>
            <c:ext xmlns:c16="http://schemas.microsoft.com/office/drawing/2014/chart" uri="{C3380CC4-5D6E-409C-BE32-E72D297353CC}">
              <c16:uniqueId val="{00000000-8FEF-49F2-BF29-E8CD395E3156}"/>
            </c:ext>
          </c:extLst>
        </c:ser>
        <c:dLbls>
          <c:showLegendKey val="0"/>
          <c:showVal val="0"/>
          <c:showCatName val="0"/>
          <c:showSerName val="0"/>
          <c:showPercent val="0"/>
          <c:showBubbleSize val="0"/>
        </c:dLbls>
        <c:gapWidth val="219"/>
        <c:axId val="1045236543"/>
        <c:axId val="1045243743"/>
      </c:barChart>
      <c:lineChart>
        <c:grouping val="stacked"/>
        <c:varyColors val="0"/>
        <c:ser>
          <c:idx val="1"/>
          <c:order val="1"/>
          <c:tx>
            <c:strRef>
              <c:f>'Pivots'' Tables'!$D$18</c:f>
              <c:strCache>
                <c:ptCount val="1"/>
                <c:pt idx="0">
                  <c:v>Sum of units_sold</c:v>
                </c:pt>
              </c:strCache>
            </c:strRef>
          </c:tx>
          <c:spPr>
            <a:ln w="28575" cap="rnd">
              <a:solidFill>
                <a:schemeClr val="accent2"/>
              </a:solidFill>
              <a:round/>
            </a:ln>
            <a:effectLst/>
          </c:spPr>
          <c:marker>
            <c:symbol val="none"/>
          </c:marker>
          <c:cat>
            <c:strRef>
              <c:f>'Pivots'' Tables'!$B$19:$B$30</c:f>
              <c:strCache>
                <c:ptCount val="11"/>
                <c:pt idx="0">
                  <c:v>Australia</c:v>
                </c:pt>
                <c:pt idx="1">
                  <c:v>Brazil</c:v>
                </c:pt>
                <c:pt idx="2">
                  <c:v>Canada</c:v>
                </c:pt>
                <c:pt idx="3">
                  <c:v>China</c:v>
                </c:pt>
                <c:pt idx="4">
                  <c:v>France</c:v>
                </c:pt>
                <c:pt idx="5">
                  <c:v>Germany</c:v>
                </c:pt>
                <c:pt idx="6">
                  <c:v>India</c:v>
                </c:pt>
                <c:pt idx="7">
                  <c:v>Japan</c:v>
                </c:pt>
                <c:pt idx="8">
                  <c:v>UK</c:v>
                </c:pt>
                <c:pt idx="9">
                  <c:v>USA</c:v>
                </c:pt>
                <c:pt idx="10">
                  <c:v>(blank)</c:v>
                </c:pt>
              </c:strCache>
            </c:strRef>
          </c:cat>
          <c:val>
            <c:numRef>
              <c:f>'Pivots'' Tables'!$D$19:$D$30</c:f>
              <c:numCache>
                <c:formatCode>General</c:formatCode>
                <c:ptCount val="11"/>
                <c:pt idx="0">
                  <c:v>55377</c:v>
                </c:pt>
                <c:pt idx="1">
                  <c:v>58195</c:v>
                </c:pt>
                <c:pt idx="2">
                  <c:v>49084</c:v>
                </c:pt>
                <c:pt idx="3">
                  <c:v>69969</c:v>
                </c:pt>
                <c:pt idx="4">
                  <c:v>59987</c:v>
                </c:pt>
                <c:pt idx="5">
                  <c:v>69508</c:v>
                </c:pt>
                <c:pt idx="6">
                  <c:v>78490</c:v>
                </c:pt>
                <c:pt idx="7">
                  <c:v>68679</c:v>
                </c:pt>
                <c:pt idx="8">
                  <c:v>82232</c:v>
                </c:pt>
                <c:pt idx="9">
                  <c:v>55916</c:v>
                </c:pt>
              </c:numCache>
            </c:numRef>
          </c:val>
          <c:smooth val="0"/>
          <c:extLst>
            <c:ext xmlns:c16="http://schemas.microsoft.com/office/drawing/2014/chart" uri="{C3380CC4-5D6E-409C-BE32-E72D297353CC}">
              <c16:uniqueId val="{00000001-8FEF-49F2-BF29-E8CD395E3156}"/>
            </c:ext>
          </c:extLst>
        </c:ser>
        <c:dLbls>
          <c:showLegendKey val="0"/>
          <c:showVal val="0"/>
          <c:showCatName val="0"/>
          <c:showSerName val="0"/>
          <c:showPercent val="0"/>
          <c:showBubbleSize val="0"/>
        </c:dLbls>
        <c:marker val="1"/>
        <c:smooth val="0"/>
        <c:axId val="1045236543"/>
        <c:axId val="1045243743"/>
      </c:lineChart>
      <c:catAx>
        <c:axId val="104523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43743"/>
        <c:crosses val="autoZero"/>
        <c:auto val="1"/>
        <c:lblAlgn val="ctr"/>
        <c:lblOffset val="100"/>
        <c:noMultiLvlLbl val="0"/>
      </c:catAx>
      <c:valAx>
        <c:axId val="104524374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3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[xl.xlsx]Pivots' Tables!PivotTable5</c:name>
    <c:fmtId val="5"/>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Sales Distribution by Purchase Type</a:t>
            </a:r>
          </a:p>
        </c:rich>
      </c:tx>
      <c:overlay val="0"/>
      <c:spPr>
        <a:noFill/>
        <a:ln>
          <a:solidFill>
            <a:schemeClr val="tx1"/>
          </a:solid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 Tables'!$O$3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9D-401D-89E5-E5DB7A9E83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9D-401D-89E5-E5DB7A9E83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9D-401D-89E5-E5DB7A9E8342}"/>
              </c:ext>
            </c:extLst>
          </c:dPt>
          <c:cat>
            <c:strRef>
              <c:f>'Pivots'' Tables'!$N$4:$N$7</c:f>
              <c:strCache>
                <c:ptCount val="3"/>
                <c:pt idx="0">
                  <c:v>Discount</c:v>
                </c:pt>
                <c:pt idx="1">
                  <c:v>EMI</c:v>
                </c:pt>
                <c:pt idx="2">
                  <c:v>Full</c:v>
                </c:pt>
              </c:strCache>
            </c:strRef>
          </c:cat>
          <c:val>
            <c:numRef>
              <c:f>'Pivots'' Tables'!$O$4:$O$7</c:f>
              <c:numCache>
                <c:formatCode>General</c:formatCode>
                <c:ptCount val="3"/>
                <c:pt idx="0">
                  <c:v>106127</c:v>
                </c:pt>
                <c:pt idx="1">
                  <c:v>477293</c:v>
                </c:pt>
                <c:pt idx="2">
                  <c:v>64017</c:v>
                </c:pt>
              </c:numCache>
            </c:numRef>
          </c:val>
          <c:extLst>
            <c:ext xmlns:c16="http://schemas.microsoft.com/office/drawing/2014/chart" uri="{C3380CC4-5D6E-409C-BE32-E72D297353CC}">
              <c16:uniqueId val="{00000006-D79D-401D-89E5-E5DB7A9E834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33058969419882"/>
          <c:y val="0.46380162603427488"/>
          <c:w val="0.20078792239512921"/>
          <c:h val="0.289078094330668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[xl.xlsx]Pivots' Tables!PivotTable4</c:name>
    <c:fmtId val="8"/>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baseline="0"/>
              <a:t>Sales Distribution by Engine Type</a:t>
            </a:r>
            <a:endParaRPr lang="en-IN" sz="1600" b="1" i="0" u="none" strike="noStrike" kern="1200" spc="0" baseline="0">
              <a:solidFill>
                <a:sysClr val="windowText" lastClr="000000">
                  <a:lumMod val="65000"/>
                  <a:lumOff val="35000"/>
                </a:sysClr>
              </a:solidFill>
              <a:latin typeface="+mn-lt"/>
              <a:ea typeface="+mn-ea"/>
              <a:cs typeface="+mn-cs"/>
            </a:endParaRPr>
          </a:p>
        </c:rich>
      </c:tx>
      <c:overlay val="0"/>
      <c:spPr>
        <a:solidFill>
          <a:schemeClr val="lt1"/>
        </a:solidFill>
        <a:ln w="15875" cap="flat" cmpd="sng" algn="ctr">
          <a:solidFill>
            <a:schemeClr val="tx1"/>
          </a:solidFill>
          <a:prstDash val="solid"/>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54000"/>
            </a:schemeClr>
          </a:solidFill>
          <a:ln w="25400">
            <a:solidFill>
              <a:schemeClr val="lt1"/>
            </a:solidFill>
          </a:ln>
          <a:effectLst/>
          <a:sp3d contourW="25400">
            <a:contourClr>
              <a:schemeClr val="lt1"/>
            </a:contourClr>
          </a:sp3d>
        </c:spPr>
      </c:pivotFmt>
      <c:pivotFmt>
        <c:idx val="3"/>
        <c:spPr>
          <a:solidFill>
            <a:schemeClr val="accent1">
              <a:tint val="77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hade val="76000"/>
            </a:schemeClr>
          </a:solidFill>
          <a:ln w="25400">
            <a:solidFill>
              <a:schemeClr val="lt1"/>
            </a:solidFill>
          </a:ln>
          <a:effectLst/>
          <a:sp3d contourW="25400">
            <a:contourClr>
              <a:schemeClr val="lt1"/>
            </a:contourClr>
          </a:sp3d>
        </c:spPr>
      </c:pivotFmt>
      <c:pivotFmt>
        <c:idx val="6"/>
        <c:spPr>
          <a:solidFill>
            <a:schemeClr val="accent1">
              <a:shade val="53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54000"/>
            </a:schemeClr>
          </a:solidFill>
          <a:ln w="25400">
            <a:solidFill>
              <a:schemeClr val="lt1"/>
            </a:solidFill>
          </a:ln>
          <a:effectLst/>
          <a:sp3d contourW="25400">
            <a:contourClr>
              <a:schemeClr val="lt1"/>
            </a:contourClr>
          </a:sp3d>
        </c:spPr>
      </c:pivotFmt>
      <c:pivotFmt>
        <c:idx val="9"/>
        <c:spPr>
          <a:solidFill>
            <a:schemeClr val="accent1">
              <a:tint val="77000"/>
            </a:schemeClr>
          </a:solidFill>
          <a:ln w="25400">
            <a:solidFill>
              <a:schemeClr val="lt1"/>
            </a:solidFill>
          </a:ln>
          <a:effectLst/>
          <a:sp3d contourW="25400">
            <a:contourClr>
              <a:schemeClr val="lt1"/>
            </a:contourClr>
          </a:sp3d>
        </c:spPr>
      </c:pivotFmt>
      <c:pivotFmt>
        <c:idx val="10"/>
        <c:spPr>
          <a:solidFill>
            <a:schemeClr val="accent1">
              <a:shade val="86000"/>
            </a:schemeClr>
          </a:solidFill>
          <a:ln w="25400">
            <a:solidFill>
              <a:schemeClr val="lt1"/>
            </a:solidFill>
          </a:ln>
          <a:effectLst/>
          <a:sp3d contourW="25400">
            <a:contourClr>
              <a:schemeClr val="lt1"/>
            </a:contourClr>
          </a:sp3d>
        </c:spPr>
      </c:pivotFmt>
      <c:pivotFmt>
        <c:idx val="11"/>
        <c:spPr>
          <a:solidFill>
            <a:schemeClr val="accent1">
              <a:shade val="76000"/>
            </a:schemeClr>
          </a:solidFill>
          <a:ln w="25400">
            <a:solidFill>
              <a:schemeClr val="lt1"/>
            </a:solidFill>
          </a:ln>
          <a:effectLst/>
          <a:sp3d contourW="25400">
            <a:contourClr>
              <a:schemeClr val="lt1"/>
            </a:contourClr>
          </a:sp3d>
        </c:spPr>
      </c:pivotFmt>
      <c:pivotFmt>
        <c:idx val="12"/>
        <c:spPr>
          <a:solidFill>
            <a:schemeClr val="accent1">
              <a:shade val="53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315327142959446E-2"/>
          <c:y val="0.2165265848068508"/>
          <c:w val="0.738874795745872"/>
          <c:h val="0.68938167278077778"/>
        </c:manualLayout>
      </c:layout>
      <c:pie3DChart>
        <c:varyColors val="1"/>
        <c:ser>
          <c:idx val="0"/>
          <c:order val="0"/>
          <c:tx>
            <c:strRef>
              <c:f>'Pivots'' Tables'!$K$3</c:f>
              <c:strCache>
                <c:ptCount val="1"/>
                <c:pt idx="0">
                  <c:v>Total</c:v>
                </c:pt>
              </c:strCache>
            </c:strRef>
          </c:tx>
          <c:dPt>
            <c:idx val="0"/>
            <c:bubble3D val="0"/>
            <c:spPr>
              <a:solidFill>
                <a:schemeClr val="accent1">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F5-486C-94B9-FD44307442D4}"/>
              </c:ext>
            </c:extLst>
          </c:dPt>
          <c:dPt>
            <c:idx val="1"/>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F5-486C-94B9-FD44307442D4}"/>
              </c:ext>
            </c:extLst>
          </c:dPt>
          <c:dPt>
            <c:idx val="2"/>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F5-486C-94B9-FD44307442D4}"/>
              </c:ext>
            </c:extLst>
          </c:dPt>
          <c:dPt>
            <c:idx val="3"/>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F5-486C-94B9-FD44307442D4}"/>
              </c:ext>
            </c:extLst>
          </c:dPt>
          <c:dPt>
            <c:idx val="4"/>
            <c:bubble3D val="0"/>
            <c:spPr>
              <a:solidFill>
                <a:schemeClr val="accent1">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6BF5-486C-94B9-FD44307442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Tables'!$J$4:$J$9</c:f>
              <c:strCache>
                <c:ptCount val="5"/>
                <c:pt idx="0">
                  <c:v>Diesel</c:v>
                </c:pt>
                <c:pt idx="1">
                  <c:v>Electric</c:v>
                </c:pt>
                <c:pt idx="2">
                  <c:v>Hybrid</c:v>
                </c:pt>
                <c:pt idx="3">
                  <c:v>Petrol</c:v>
                </c:pt>
                <c:pt idx="4">
                  <c:v>(blank)</c:v>
                </c:pt>
              </c:strCache>
            </c:strRef>
          </c:cat>
          <c:val>
            <c:numRef>
              <c:f>'Pivots'' Tables'!$K$4:$K$9</c:f>
              <c:numCache>
                <c:formatCode>General</c:formatCode>
                <c:ptCount val="5"/>
                <c:pt idx="0">
                  <c:v>166760</c:v>
                </c:pt>
                <c:pt idx="1">
                  <c:v>179030</c:v>
                </c:pt>
                <c:pt idx="2">
                  <c:v>159448</c:v>
                </c:pt>
                <c:pt idx="3">
                  <c:v>142199</c:v>
                </c:pt>
              </c:numCache>
            </c:numRef>
          </c:val>
          <c:extLst>
            <c:ext xmlns:c16="http://schemas.microsoft.com/office/drawing/2014/chart" uri="{C3380CC4-5D6E-409C-BE32-E72D297353CC}">
              <c16:uniqueId val="{0000000A-6BF5-486C-94B9-FD44307442D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8945060160391767"/>
          <c:y val="0.41141763488946681"/>
          <c:w val="0.18589199713085361"/>
          <c:h val="0.39000494434797184"/>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4FD7BFD-064A-4ED6-A0BD-67EE823EF81C}">
  <sheetPr codeName="Chart6"/>
  <sheetViews>
    <sheetView zoomScale="8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94B9BFFC-4756-DC6B-FE58-080E5AA36AB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9071</xdr:colOff>
      <xdr:row>1</xdr:row>
      <xdr:rowOff>164341</xdr:rowOff>
    </xdr:to>
    <xdr:sp macro="" textlink="">
      <xdr:nvSpPr>
        <xdr:cNvPr id="9" name="Rectangle 8">
          <a:extLst>
            <a:ext uri="{FF2B5EF4-FFF2-40B4-BE49-F238E27FC236}">
              <a16:creationId xmlns:a16="http://schemas.microsoft.com/office/drawing/2014/main" id="{AC3423AA-566D-4174-9760-A619202EC539}"/>
            </a:ext>
          </a:extLst>
        </xdr:cNvPr>
        <xdr:cNvSpPr/>
      </xdr:nvSpPr>
      <xdr:spPr>
        <a:xfrm>
          <a:off x="671286" y="0"/>
          <a:ext cx="2884714" cy="336698"/>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IN" sz="1600" b="1"/>
            <a:t>Country-wise Units Sold</a:t>
          </a:r>
          <a:endParaRPr lang="en-IN" sz="1600" b="1">
            <a:solidFill>
              <a:schemeClr val="dk1"/>
            </a:solidFill>
            <a:latin typeface="+mn-lt"/>
            <a:ea typeface="+mn-ea"/>
            <a:cs typeface="+mn-cs"/>
          </a:endParaRPr>
        </a:p>
      </xdr:txBody>
    </xdr:sp>
    <xdr:clientData/>
  </xdr:twoCellAnchor>
  <xdr:twoCellAnchor>
    <xdr:from>
      <xdr:col>5</xdr:col>
      <xdr:colOff>0</xdr:colOff>
      <xdr:row>0</xdr:row>
      <xdr:rowOff>0</xdr:rowOff>
    </xdr:from>
    <xdr:to>
      <xdr:col>7</xdr:col>
      <xdr:colOff>9071</xdr:colOff>
      <xdr:row>1</xdr:row>
      <xdr:rowOff>164341</xdr:rowOff>
    </xdr:to>
    <xdr:sp macro="" textlink="">
      <xdr:nvSpPr>
        <xdr:cNvPr id="10" name="Rectangle 9">
          <a:extLst>
            <a:ext uri="{FF2B5EF4-FFF2-40B4-BE49-F238E27FC236}">
              <a16:creationId xmlns:a16="http://schemas.microsoft.com/office/drawing/2014/main" id="{66A11E97-F86A-4963-A1EB-B7355D4A2D2B}"/>
            </a:ext>
          </a:extLst>
        </xdr:cNvPr>
        <xdr:cNvSpPr/>
      </xdr:nvSpPr>
      <xdr:spPr>
        <a:xfrm>
          <a:off x="5352143" y="0"/>
          <a:ext cx="2884714" cy="336698"/>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IN" sz="1600" b="1">
              <a:solidFill>
                <a:schemeClr val="dk1"/>
              </a:solidFill>
              <a:latin typeface="+mn-lt"/>
              <a:ea typeface="+mn-ea"/>
              <a:cs typeface="+mn-cs"/>
            </a:rPr>
            <a:t>Units Sold by Car Model</a:t>
          </a:r>
        </a:p>
      </xdr:txBody>
    </xdr:sp>
    <xdr:clientData/>
  </xdr:twoCellAnchor>
  <xdr:twoCellAnchor>
    <xdr:from>
      <xdr:col>0</xdr:col>
      <xdr:colOff>671285</xdr:colOff>
      <xdr:row>15</xdr:row>
      <xdr:rowOff>0</xdr:rowOff>
    </xdr:from>
    <xdr:to>
      <xdr:col>3</xdr:col>
      <xdr:colOff>1133927</xdr:colOff>
      <xdr:row>16</xdr:row>
      <xdr:rowOff>164341</xdr:rowOff>
    </xdr:to>
    <xdr:sp macro="" textlink="">
      <xdr:nvSpPr>
        <xdr:cNvPr id="11" name="Rectangle 10">
          <a:extLst>
            <a:ext uri="{FF2B5EF4-FFF2-40B4-BE49-F238E27FC236}">
              <a16:creationId xmlns:a16="http://schemas.microsoft.com/office/drawing/2014/main" id="{A06BAD42-098E-4824-83D3-6D03B77C466C}"/>
            </a:ext>
          </a:extLst>
        </xdr:cNvPr>
        <xdr:cNvSpPr/>
      </xdr:nvSpPr>
      <xdr:spPr>
        <a:xfrm>
          <a:off x="671285" y="2585357"/>
          <a:ext cx="4009571" cy="336698"/>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IN" sz="1600" b="1">
              <a:solidFill>
                <a:schemeClr val="dk1"/>
              </a:solidFill>
              <a:latin typeface="+mn-lt"/>
              <a:ea typeface="+mn-ea"/>
              <a:cs typeface="+mn-cs"/>
            </a:rPr>
            <a:t>Country-wise Sales Value &amp; Units Sold</a:t>
          </a:r>
        </a:p>
      </xdr:txBody>
    </xdr:sp>
    <xdr:clientData/>
  </xdr:twoCellAnchor>
  <xdr:twoCellAnchor>
    <xdr:from>
      <xdr:col>9</xdr:col>
      <xdr:colOff>0</xdr:colOff>
      <xdr:row>0</xdr:row>
      <xdr:rowOff>0</xdr:rowOff>
    </xdr:from>
    <xdr:to>
      <xdr:col>10</xdr:col>
      <xdr:colOff>1451429</xdr:colOff>
      <xdr:row>1</xdr:row>
      <xdr:rowOff>164341</xdr:rowOff>
    </xdr:to>
    <xdr:sp macro="" textlink="">
      <xdr:nvSpPr>
        <xdr:cNvPr id="12" name="Rectangle 11">
          <a:extLst>
            <a:ext uri="{FF2B5EF4-FFF2-40B4-BE49-F238E27FC236}">
              <a16:creationId xmlns:a16="http://schemas.microsoft.com/office/drawing/2014/main" id="{9E9B44D0-303E-4127-B415-B634006B7142}"/>
            </a:ext>
          </a:extLst>
        </xdr:cNvPr>
        <xdr:cNvSpPr/>
      </xdr:nvSpPr>
      <xdr:spPr>
        <a:xfrm>
          <a:off x="10087429" y="0"/>
          <a:ext cx="2884714" cy="336698"/>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IN" sz="1600" b="1">
              <a:solidFill>
                <a:schemeClr val="dk1"/>
              </a:solidFill>
              <a:latin typeface="+mn-lt"/>
              <a:ea typeface="+mn-ea"/>
              <a:cs typeface="+mn-cs"/>
            </a:rPr>
            <a:t>Units Sold by Engine Type</a:t>
          </a:r>
        </a:p>
      </xdr:txBody>
    </xdr:sp>
    <xdr:clientData/>
  </xdr:twoCellAnchor>
  <xdr:twoCellAnchor>
    <xdr:from>
      <xdr:col>13</xdr:col>
      <xdr:colOff>0</xdr:colOff>
      <xdr:row>0</xdr:row>
      <xdr:rowOff>0</xdr:rowOff>
    </xdr:from>
    <xdr:to>
      <xdr:col>15</xdr:col>
      <xdr:colOff>9071</xdr:colOff>
      <xdr:row>1</xdr:row>
      <xdr:rowOff>164341</xdr:rowOff>
    </xdr:to>
    <xdr:sp macro="" textlink="">
      <xdr:nvSpPr>
        <xdr:cNvPr id="13" name="Rectangle 12">
          <a:extLst>
            <a:ext uri="{FF2B5EF4-FFF2-40B4-BE49-F238E27FC236}">
              <a16:creationId xmlns:a16="http://schemas.microsoft.com/office/drawing/2014/main" id="{C81D460B-B671-4ED7-A9FF-CDF588FA7B86}"/>
            </a:ext>
          </a:extLst>
        </xdr:cNvPr>
        <xdr:cNvSpPr/>
      </xdr:nvSpPr>
      <xdr:spPr>
        <a:xfrm>
          <a:off x="14423571" y="0"/>
          <a:ext cx="2884714" cy="336698"/>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IN" sz="1600" b="1">
              <a:solidFill>
                <a:schemeClr val="dk1"/>
              </a:solidFill>
              <a:latin typeface="+mn-lt"/>
              <a:ea typeface="+mn-ea"/>
              <a:cs typeface="+mn-cs"/>
            </a:rPr>
            <a:t>Sales by Purchase Type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98755</xdr:colOff>
      <xdr:row>11</xdr:row>
      <xdr:rowOff>103098</xdr:rowOff>
    </xdr:from>
    <xdr:to>
      <xdr:col>12</xdr:col>
      <xdr:colOff>382965</xdr:colOff>
      <xdr:row>30</xdr:row>
      <xdr:rowOff>107323</xdr:rowOff>
    </xdr:to>
    <xdr:graphicFrame macro="">
      <xdr:nvGraphicFramePr>
        <xdr:cNvPr id="6" name="Chart 5">
          <a:extLst>
            <a:ext uri="{FF2B5EF4-FFF2-40B4-BE49-F238E27FC236}">
              <a16:creationId xmlns:a16="http://schemas.microsoft.com/office/drawing/2014/main" id="{9EBD1141-EBC7-4611-8973-769C3D4C0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517407</xdr:colOff>
      <xdr:row>2</xdr:row>
      <xdr:rowOff>131704</xdr:rowOff>
    </xdr:from>
    <xdr:to>
      <xdr:col>19</xdr:col>
      <xdr:colOff>404245</xdr:colOff>
      <xdr:row>18</xdr:row>
      <xdr:rowOff>69201</xdr:rowOff>
    </xdr:to>
    <xdr:graphicFrame macro="">
      <xdr:nvGraphicFramePr>
        <xdr:cNvPr id="7" name="Chart 6">
          <a:extLst>
            <a:ext uri="{FF2B5EF4-FFF2-40B4-BE49-F238E27FC236}">
              <a16:creationId xmlns:a16="http://schemas.microsoft.com/office/drawing/2014/main" id="{34E1C8CF-D217-400B-BF56-1DF2E8A41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103820</xdr:colOff>
      <xdr:row>31</xdr:row>
      <xdr:rowOff>46096</xdr:rowOff>
    </xdr:from>
    <xdr:to>
      <xdr:col>12</xdr:col>
      <xdr:colOff>397098</xdr:colOff>
      <xdr:row>50</xdr:row>
      <xdr:rowOff>132090</xdr:rowOff>
    </xdr:to>
    <xdr:graphicFrame macro="">
      <xdr:nvGraphicFramePr>
        <xdr:cNvPr id="8" name="Chart 7">
          <a:extLst>
            <a:ext uri="{FF2B5EF4-FFF2-40B4-BE49-F238E27FC236}">
              <a16:creationId xmlns:a16="http://schemas.microsoft.com/office/drawing/2014/main" id="{BC7962CB-CE76-4FC4-9F93-ECE8374C1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511792</xdr:colOff>
      <xdr:row>19</xdr:row>
      <xdr:rowOff>37629</xdr:rowOff>
    </xdr:from>
    <xdr:to>
      <xdr:col>19</xdr:col>
      <xdr:colOff>436327</xdr:colOff>
      <xdr:row>34</xdr:row>
      <xdr:rowOff>132872</xdr:rowOff>
    </xdr:to>
    <xdr:graphicFrame macro="">
      <xdr:nvGraphicFramePr>
        <xdr:cNvPr id="9" name="Chart 8">
          <a:extLst>
            <a:ext uri="{FF2B5EF4-FFF2-40B4-BE49-F238E27FC236}">
              <a16:creationId xmlns:a16="http://schemas.microsoft.com/office/drawing/2014/main" id="{57510A2F-DAC6-4ACA-8FCF-F3B64B8A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500418</xdr:colOff>
      <xdr:row>35</xdr:row>
      <xdr:rowOff>79614</xdr:rowOff>
    </xdr:from>
    <xdr:to>
      <xdr:col>19</xdr:col>
      <xdr:colOff>411543</xdr:colOff>
      <xdr:row>51</xdr:row>
      <xdr:rowOff>49554</xdr:rowOff>
    </xdr:to>
    <xdr:graphicFrame macro="">
      <xdr:nvGraphicFramePr>
        <xdr:cNvPr id="10" name="Chart 9">
          <a:extLst>
            <a:ext uri="{FF2B5EF4-FFF2-40B4-BE49-F238E27FC236}">
              <a16:creationId xmlns:a16="http://schemas.microsoft.com/office/drawing/2014/main" id="{9EB2D2FA-A3F3-45F6-9E87-B07753584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11374</xdr:rowOff>
    </xdr:from>
    <xdr:to>
      <xdr:col>20</xdr:col>
      <xdr:colOff>11373</xdr:colOff>
      <xdr:row>2</xdr:row>
      <xdr:rowOff>45493</xdr:rowOff>
    </xdr:to>
    <xdr:sp macro="" textlink="">
      <xdr:nvSpPr>
        <xdr:cNvPr id="11" name="Rectangle 10">
          <a:extLst>
            <a:ext uri="{FF2B5EF4-FFF2-40B4-BE49-F238E27FC236}">
              <a16:creationId xmlns:a16="http://schemas.microsoft.com/office/drawing/2014/main" id="{08680044-6D37-0AB2-9018-3B98CB68C4A2}"/>
            </a:ext>
          </a:extLst>
        </xdr:cNvPr>
        <xdr:cNvSpPr/>
      </xdr:nvSpPr>
      <xdr:spPr>
        <a:xfrm>
          <a:off x="0" y="11374"/>
          <a:ext cx="13443237" cy="395746"/>
        </a:xfrm>
        <a:prstGeom prst="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a:solidFill>
                <a:schemeClr val="accent1">
                  <a:lumMod val="50000"/>
                </a:schemeClr>
              </a:solidFill>
              <a:latin typeface="Arial Rounded MT Bold" panose="020F0704030504030204" pitchFamily="34" charset="0"/>
            </a:rPr>
            <a:t>Automotive Sales Analysis Dashboard</a:t>
          </a:r>
          <a:endParaRPr lang="en-IN" sz="2400" b="0" cap="none" spc="0">
            <a:ln w="22225">
              <a:solidFill>
                <a:schemeClr val="accent2"/>
              </a:solidFill>
              <a:prstDash val="solid"/>
            </a:ln>
            <a:solidFill>
              <a:schemeClr val="accent1">
                <a:lumMod val="50000"/>
              </a:schemeClr>
            </a:solidFill>
            <a:effectLst/>
            <a:latin typeface="Arial Rounded MT Bold" panose="020F0704030504030204" pitchFamily="34" charset="0"/>
          </a:endParaRPr>
        </a:p>
      </xdr:txBody>
    </xdr:sp>
    <xdr:clientData/>
  </xdr:twoCellAnchor>
  <xdr:twoCellAnchor editAs="oneCell">
    <xdr:from>
      <xdr:col>4</xdr:col>
      <xdr:colOff>64394</xdr:colOff>
      <xdr:row>2</xdr:row>
      <xdr:rowOff>136086</xdr:rowOff>
    </xdr:from>
    <xdr:to>
      <xdr:col>6</xdr:col>
      <xdr:colOff>558084</xdr:colOff>
      <xdr:row>11</xdr:row>
      <xdr:rowOff>10733</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CF4249F7-3B15-CA07-186D-3C9877EE0E7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746634" y="481526"/>
              <a:ext cx="1834810" cy="1429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579549</xdr:colOff>
      <xdr:row>2</xdr:row>
      <xdr:rowOff>149825</xdr:rowOff>
    </xdr:from>
    <xdr:to>
      <xdr:col>12</xdr:col>
      <xdr:colOff>375634</xdr:colOff>
      <xdr:row>11</xdr:row>
      <xdr:rowOff>42931</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1A7BC8E7-2E66-86DA-B241-B847AF26E7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14589" y="495265"/>
              <a:ext cx="1807765" cy="1447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643407</xdr:colOff>
      <xdr:row>2</xdr:row>
      <xdr:rowOff>136193</xdr:rowOff>
    </xdr:from>
    <xdr:to>
      <xdr:col>9</xdr:col>
      <xdr:colOff>475982</xdr:colOff>
      <xdr:row>11</xdr:row>
      <xdr:rowOff>32198</xdr:rowOff>
    </xdr:to>
    <mc:AlternateContent xmlns:mc="http://schemas.openxmlformats.org/markup-compatibility/2006" xmlns:a14="http://schemas.microsoft.com/office/drawing/2010/main">
      <mc:Choice Requires="a14">
        <xdr:graphicFrame macro="">
          <xdr:nvGraphicFramePr>
            <xdr:cNvPr id="16" name="model">
              <a:extLst>
                <a:ext uri="{FF2B5EF4-FFF2-40B4-BE49-F238E27FC236}">
                  <a16:creationId xmlns:a16="http://schemas.microsoft.com/office/drawing/2014/main" id="{67D4FC56-7730-94EC-2040-77D4980E6B3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4666767" y="481633"/>
              <a:ext cx="1844255" cy="145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115660</xdr:colOff>
      <xdr:row>2</xdr:row>
      <xdr:rowOff>101600</xdr:rowOff>
    </xdr:from>
    <xdr:to>
      <xdr:col>4</xdr:col>
      <xdr:colOff>27214</xdr:colOff>
      <xdr:row>11</xdr:row>
      <xdr:rowOff>68037</xdr:rowOff>
    </xdr:to>
    <xdr:pic>
      <xdr:nvPicPr>
        <xdr:cNvPr id="20" name="Picture 19">
          <a:extLst>
            <a:ext uri="{FF2B5EF4-FFF2-40B4-BE49-F238E27FC236}">
              <a16:creationId xmlns:a16="http://schemas.microsoft.com/office/drawing/2014/main" id="{2F0D751E-0F43-EAAE-557E-8119069F6F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5660" y="451556"/>
          <a:ext cx="2598310" cy="15412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364435</xdr:colOff>
      <xdr:row>22</xdr:row>
      <xdr:rowOff>19105</xdr:rowOff>
    </xdr:from>
    <xdr:ext cx="22860" cy="268025"/>
    <xdr:sp macro="" textlink="">
      <xdr:nvSpPr>
        <xdr:cNvPr id="2" name="TextBox 1">
          <a:extLst>
            <a:ext uri="{FF2B5EF4-FFF2-40B4-BE49-F238E27FC236}">
              <a16:creationId xmlns:a16="http://schemas.microsoft.com/office/drawing/2014/main" id="{157201A3-E9E1-FC94-2549-DD531B916704}"/>
            </a:ext>
          </a:extLst>
        </xdr:cNvPr>
        <xdr:cNvSpPr txBox="1"/>
      </xdr:nvSpPr>
      <xdr:spPr>
        <a:xfrm flipH="1">
          <a:off x="8028609" y="4149366"/>
          <a:ext cx="22860" cy="268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endParaRPr lang="en-IN" sz="1100"/>
        </a:p>
        <a:p>
          <a:pPr algn="l"/>
          <a:r>
            <a:rPr lang="en-IN" sz="2000" b="1"/>
            <a:t>sights</a:t>
          </a:r>
        </a:p>
        <a:p>
          <a:pPr algn="l"/>
          <a:r>
            <a:rPr lang="en-IN" b="1"/>
            <a:t>Total Sales:</a:t>
          </a:r>
          <a:r>
            <a:rPr lang="en-IN"/>
            <a:t> ₹ 27,93,63,047 </a:t>
          </a:r>
        </a:p>
        <a:p>
          <a:pPr algn="l"/>
          <a:r>
            <a:rPr lang="en-IN" b="1"/>
            <a:t>Average Sales:</a:t>
          </a:r>
          <a:r>
            <a:rPr lang="en-IN"/>
            <a:t> ₹ 76,497.18 </a:t>
          </a:r>
        </a:p>
        <a:p>
          <a:pPr algn="l"/>
          <a:r>
            <a:rPr lang="en-IN" b="1"/>
            <a:t>Maximum Sales:</a:t>
          </a:r>
          <a:r>
            <a:rPr lang="en-IN"/>
            <a:t> ₹ 2,53,32,406 </a:t>
          </a:r>
        </a:p>
        <a:p>
          <a:pPr algn="l"/>
          <a:r>
            <a:rPr lang="en-IN" b="1"/>
            <a:t>Minimum Sales:</a:t>
          </a:r>
          <a:r>
            <a:rPr lang="en-IN"/>
            <a:t> ₹ 35,060 </a:t>
          </a:r>
        </a:p>
        <a:p>
          <a:pPr algn="l"/>
          <a:r>
            <a:rPr lang="en-IN" b="1"/>
            <a:t>Total Units Sold:</a:t>
          </a:r>
          <a:r>
            <a:rPr lang="en-IN"/>
            <a:t> 6,32,753 </a:t>
          </a:r>
        </a:p>
        <a:p>
          <a:pPr algn="l"/>
          <a:r>
            <a:rPr lang="en-IN" b="1"/>
            <a:t>Average Units Sold:</a:t>
          </a:r>
          <a:r>
            <a:rPr lang="en-IN"/>
            <a:t> 786 </a:t>
          </a:r>
        </a:p>
        <a:p>
          <a:pPr algn="l"/>
          <a:r>
            <a:rPr lang="en-IN" b="1"/>
            <a:t>Maximum Units Sold:</a:t>
          </a:r>
          <a:r>
            <a:rPr lang="en-IN"/>
            <a:t> 1,19,817 </a:t>
          </a:r>
        </a:p>
        <a:p>
          <a:pPr algn="l"/>
          <a:r>
            <a:rPr lang="en-IN" b="1"/>
            <a:t>Minimum Units Sold:</a:t>
          </a:r>
          <a:r>
            <a:rPr lang="en-IN"/>
            <a:t> 37 </a:t>
          </a:r>
        </a:p>
        <a:p>
          <a:pPr algn="l"/>
          <a:r>
            <a:rPr lang="en-IN" b="1"/>
            <a:t>Total Marketing Spend:</a:t>
          </a:r>
          <a:r>
            <a:rPr lang="en-IN"/>
            <a:t> ₹ 3,72,61,55,355 </a:t>
          </a:r>
        </a:p>
        <a:p>
          <a:pPr algn="l"/>
          <a:r>
            <a:rPr lang="en-IN" b="1"/>
            <a:t>Average Marketing Spend:</a:t>
          </a:r>
          <a:r>
            <a:rPr lang="en-IN"/>
            <a:t> ₹ 4,94,20,380</a:t>
          </a:r>
        </a:p>
        <a:p>
          <a:r>
            <a:rPr lang="en-IN" b="1"/>
            <a:t>EMI Count:</a:t>
          </a:r>
          <a:r>
            <a:rPr lang="en-IN"/>
            <a:t> 786 </a:t>
          </a:r>
        </a:p>
        <a:p>
          <a:r>
            <a:rPr lang="en-IN" b="1"/>
            <a:t>Discount Count:</a:t>
          </a:r>
          <a:r>
            <a:rPr lang="en-IN"/>
            <a:t> 37 </a:t>
          </a:r>
        </a:p>
        <a:p>
          <a:r>
            <a:rPr lang="en-IN" b="1"/>
            <a:t>EMI Revenue:</a:t>
          </a:r>
          <a:r>
            <a:rPr lang="en-IN"/>
            <a:t> ₹ 37,26,15,535 </a:t>
          </a:r>
        </a:p>
        <a:p>
          <a:r>
            <a:rPr lang="en-IN" b="1"/>
            <a:t>Discount Revenue:</a:t>
          </a:r>
          <a:r>
            <a:rPr lang="en-IN"/>
            <a:t> ₹ 4,34,20,380 </a:t>
          </a:r>
        </a:p>
        <a:p>
          <a:pPr algn="l"/>
          <a:endParaRPr lang="en-IN"/>
        </a:p>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person displayName="Nainika Khanna" id="{B51A59ED-9F8F-492C-BC3C-6B7CA73DFA63}" userId="c8e0a28d19ec3c7f"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inika Khanna" refreshedDate="46128.849406712965" createdVersion="8" refreshedVersion="8" minRefreshableVersion="3" recordCount="1220" xr:uid="{C4315650-610E-4E79-BC53-661ACB89CE54}">
  <cacheSource type="worksheet">
    <worksheetSource name="Table1"/>
  </cacheSource>
  <cacheFields count="16">
    <cacheField name="year" numFmtId="0">
      <sharedItems containsString="0" containsBlank="1" containsNumber="1" containsInteger="1" minValue="2015" maxValue="2026" count="13">
        <n v="2021"/>
        <n v="2018"/>
        <n v="2022"/>
        <n v="2019"/>
        <n v="2024"/>
        <n v="2017"/>
        <n v="2020"/>
        <n v="2016"/>
        <n v="2015"/>
        <n v="2023"/>
        <m/>
        <n v="2025"/>
        <n v="2026"/>
      </sharedItems>
    </cacheField>
    <cacheField name="month" numFmtId="0">
      <sharedItems containsString="0" containsBlank="1" containsNumber="1" containsInteger="1" minValue="1" maxValue="12" count="13">
        <n v="1"/>
        <n v="8"/>
        <n v="12"/>
        <n v="11"/>
        <n v="4"/>
        <n v="5"/>
        <n v="10"/>
        <n v="9"/>
        <n v="6"/>
        <n v="3"/>
        <n v="7"/>
        <n v="2"/>
        <m/>
      </sharedItems>
    </cacheField>
    <cacheField name="country" numFmtId="0">
      <sharedItems containsBlank="1" count="11">
        <s v="Australia"/>
        <s v="USA"/>
        <s v="Brazil"/>
        <s v="China"/>
        <s v="India"/>
        <s v="UK"/>
        <s v="Canada"/>
        <s v="Germany"/>
        <s v="France"/>
        <s v="Japan"/>
        <m/>
      </sharedItems>
    </cacheField>
    <cacheField name="model" numFmtId="0">
      <sharedItems containsBlank="1" count="12">
        <s v="X1"/>
        <s v="i4"/>
        <s v="5 Series"/>
        <s v="i7"/>
        <s v="X5"/>
        <s v="X7"/>
        <s v="3 Series"/>
        <s v="7 Series"/>
        <s v="X3"/>
        <s v="iX"/>
        <m/>
        <s v="Formula1" f="1"/>
      </sharedItems>
    </cacheField>
    <cacheField name="segment" numFmtId="0">
      <sharedItems containsBlank="1"/>
    </cacheField>
    <cacheField name="engine_type" numFmtId="0">
      <sharedItems containsBlank="1" count="5">
        <s v="Petrol"/>
        <s v="Electric"/>
        <s v="Hybrid"/>
        <s v="Diesel"/>
        <m/>
      </sharedItems>
    </cacheField>
    <cacheField name="price_inr" numFmtId="164">
      <sharedItems containsString="0" containsBlank="1" containsNumber="1" containsInteger="1" minValue="35060" maxValue="4972987"/>
    </cacheField>
    <cacheField name="marketing_spend_inr" numFmtId="164">
      <sharedItems containsString="0" containsBlank="1" containsNumber="1" containsInteger="1" minValue="50363" maxValue="499808"/>
    </cacheField>
    <cacheField name="dealership_count" numFmtId="0">
      <sharedItems containsString="0" containsBlank="1" containsNumber="1" containsInteger="1" minValue="10" maxValue="399"/>
    </cacheField>
    <cacheField name="fuel_price_usd" numFmtId="0">
      <sharedItems containsString="0" containsBlank="1" containsNumber="1" minValue="0.97" maxValue="2"/>
    </cacheField>
    <cacheField name="gdp_growth_percent" numFmtId="0">
      <sharedItems containsString="0" containsBlank="1" containsNumber="1" minValue="3.03" maxValue="7.99"/>
    </cacheField>
    <cacheField name="interest_rate_percent" numFmtId="0">
      <sharedItems containsString="0" containsBlank="1" containsNumber="1" minValue="1.2" maxValue="9.9700000000000006"/>
    </cacheField>
    <cacheField name="competition_index" numFmtId="0">
      <sharedItems containsString="0" containsBlank="1" containsNumber="1" minValue="1" maxValue="10"/>
    </cacheField>
    <cacheField name="units_sold" numFmtId="0">
      <sharedItems containsString="0" containsBlank="1" containsNumber="1" containsInteger="1" minValue="15" maxValue="1242" count="704">
        <n v="324"/>
        <n v="556"/>
        <n v="152"/>
        <n v="730"/>
        <n v="1156"/>
        <n v="687"/>
        <n v="489"/>
        <n v="435"/>
        <n v="1080"/>
        <n v="447"/>
        <n v="827"/>
        <n v="712"/>
        <n v="1181"/>
        <n v="307"/>
        <n v="725"/>
        <n v="588"/>
        <n v="644"/>
        <n v="534"/>
        <n v="1004"/>
        <n v="544"/>
        <n v="751"/>
        <n v="1061"/>
        <n v="954"/>
        <n v="673"/>
        <n v="15"/>
        <n v="107"/>
        <n v="523"/>
        <n v="782"/>
        <n v="397"/>
        <n v="773"/>
        <n v="179"/>
        <n v="652"/>
        <n v="389"/>
        <n v="213"/>
        <n v="945"/>
        <n v="705"/>
        <n v="368"/>
        <n v="743"/>
        <n v="805"/>
        <n v="380"/>
        <n v="543"/>
        <n v="429"/>
        <n v="661"/>
        <n v="1001"/>
        <n v="413"/>
        <n v="396"/>
        <n v="225"/>
        <n v="992"/>
        <n v="476"/>
        <n v="357"/>
        <n v="1145"/>
        <n v="679"/>
        <n v="184"/>
        <n v="205"/>
        <n v="578"/>
        <n v="292"/>
        <n v="495"/>
        <n v="576"/>
        <n v="453"/>
        <n v="1070"/>
        <n v="348"/>
        <n v="651"/>
        <n v="951"/>
        <n v="393"/>
        <n v="1190"/>
        <n v="847"/>
        <n v="117"/>
        <n v="518"/>
        <n v="610"/>
        <n v="260"/>
        <n v="1115"/>
        <n v="677"/>
        <n v="370"/>
        <n v="532"/>
        <n v="691"/>
        <n v="899"/>
        <n v="605"/>
        <n v="474"/>
        <n v="706"/>
        <n v="272"/>
        <n v="531"/>
        <n v="586"/>
        <n v="667"/>
        <n v="559"/>
        <n v="502"/>
        <n v="822"/>
        <n v="564"/>
        <n v="1066"/>
        <n v="871"/>
        <n v="592"/>
        <n v="508"/>
        <n v="1177"/>
        <n v="630"/>
        <n v="845"/>
        <n v="880"/>
        <n v="100"/>
        <n v="451"/>
        <n v="944"/>
        <n v="947"/>
        <n v="658"/>
        <n v="904"/>
        <n v="728"/>
        <n v="709"/>
        <n v="1007"/>
        <n v="193"/>
        <n v="874"/>
        <n v="622"/>
        <n v="1049"/>
        <n v="857"/>
        <n v="426"/>
        <n v="1055"/>
        <n v="742"/>
        <n v="686"/>
        <n v="299"/>
        <n v="716"/>
        <n v="906"/>
        <n v="1038"/>
        <n v="421"/>
        <n v="551"/>
        <n v="941"/>
        <n v="626"/>
        <n v="632"/>
        <n v="837"/>
        <n v="749"/>
        <n v="373"/>
        <n v="753"/>
        <n v="1169"/>
        <n v="780"/>
        <n v="756"/>
        <n v="848"/>
        <n v="911"/>
        <n v="530"/>
        <n v="989"/>
        <n v="203"/>
        <n v="685"/>
        <n v="408"/>
        <n v="762"/>
        <n v="425"/>
        <n v="596"/>
        <n v="769"/>
        <n v="997"/>
        <n v="1043"/>
        <n v="849"/>
        <n v="122"/>
        <n v="916"/>
        <n v="882"/>
        <n v="472"/>
        <n v="448"/>
        <n v="956"/>
        <n v="628"/>
        <n v="806"/>
        <n v="465"/>
        <n v="121"/>
        <n v="923"/>
        <n v="507"/>
        <n v="288"/>
        <n v="519"/>
        <n v="527"/>
        <n v="883"/>
        <n v="361"/>
        <n v="388"/>
        <n v="844"/>
        <n v="887"/>
        <n v="788"/>
        <n v="1026"/>
        <n v="347"/>
        <n v="386"/>
        <n v="187"/>
        <n v="599"/>
        <n v="815"/>
        <n v="1044"/>
        <n v="536"/>
        <n v="967"/>
        <n v="744"/>
        <n v="341"/>
        <n v="511"/>
        <n v="790"/>
        <n v="457"/>
        <n v="245"/>
        <n v="818"/>
        <n v="419"/>
        <n v="173"/>
        <n v="654"/>
        <n v="211"/>
        <n v="375"/>
        <n v="975"/>
        <n v="500"/>
        <n v="142"/>
        <n v="697"/>
        <n v="446"/>
        <n v="477"/>
        <n v="1008"/>
        <n v="781"/>
        <n v="542"/>
        <n v="796"/>
        <n v="1237"/>
        <n v="318"/>
        <n v="924"/>
        <n v="1099"/>
        <n v="894"/>
        <n v="665"/>
        <n v="830"/>
        <n v="360"/>
        <n v="162"/>
        <n v="411"/>
        <n v="359"/>
        <n v="367"/>
        <n v="550"/>
        <n v="903"/>
        <n v="860"/>
        <n v="1012"/>
        <n v="538"/>
        <n v="516"/>
        <n v="407"/>
        <n v="925"/>
        <n v="1025"/>
        <n v="450"/>
        <n v="999"/>
        <n v="811"/>
        <n v="209"/>
        <n v="840"/>
        <n v="344"/>
        <n v="441"/>
        <n v="281"/>
        <n v="625"/>
        <n v="1104"/>
        <n v="540"/>
        <n v="420"/>
        <n v="897"/>
        <n v="529"/>
        <n v="943"/>
        <n v="634"/>
        <n v="670"/>
        <n v="191"/>
        <n v="937"/>
        <n v="471"/>
        <n v="615"/>
        <n v="265"/>
        <n v="313"/>
        <n v="674"/>
        <n v="807"/>
        <n v="201"/>
        <n v="1051"/>
        <n v="436"/>
        <n v="197"/>
        <n v="1021"/>
        <n v="640"/>
        <n v="1081"/>
        <n v="675"/>
        <n v="351"/>
        <n v="355"/>
        <n v="1195"/>
        <n v="473"/>
        <n v="1027"/>
        <n v="505"/>
        <n v="369"/>
        <n v="432"/>
        <n v="554"/>
        <n v="398"/>
        <n v="424"/>
        <n v="67"/>
        <n v="514"/>
        <n v="255"/>
        <n v="302"/>
        <n v="498"/>
        <n v="176"/>
        <n v="736"/>
        <n v="836"/>
        <n v="609"/>
        <n v="130"/>
        <n v="533"/>
        <n v="430"/>
        <n v="647"/>
        <n v="520"/>
        <n v="961"/>
        <n v="552"/>
        <n v="1150"/>
        <n v="876"/>
        <n v="525"/>
        <n v="718"/>
        <n v="680"/>
        <n v="466"/>
        <n v="497"/>
        <n v="893"/>
        <n v="158"/>
        <n v="701"/>
        <n v="657"/>
        <n v="306"/>
        <n v="958"/>
        <n v="1096"/>
        <n v="1086"/>
        <n v="290"/>
        <n v="475"/>
        <n v="521"/>
        <n v="1019"/>
        <n v="395"/>
        <n v="467"/>
        <n v="571"/>
        <n v="206"/>
        <n v="1135"/>
        <n v="517"/>
        <n v="1137"/>
        <n v="539"/>
        <n v="613"/>
        <n v="934"/>
        <n v="980"/>
        <n v="499"/>
        <n v="662"/>
        <n v="608"/>
        <n v="719"/>
        <n v="257"/>
        <n v="699"/>
        <n v="1078"/>
        <n v="246"/>
        <n v="931"/>
        <n v="1013"/>
        <n v="977"/>
        <n v="346"/>
        <n v="353"/>
        <n v="620"/>
        <n v="868"/>
        <n v="231"/>
        <n v="567"/>
        <n v="1016"/>
        <n v="875"/>
        <n v="1083"/>
        <n v="978"/>
        <n v="248"/>
        <n v="147"/>
        <n v="886"/>
        <n v="319"/>
        <n v="493"/>
        <n v="581"/>
        <n v="207"/>
        <n v="775"/>
        <n v="724"/>
        <n v="664"/>
        <n v="953"/>
        <n v="305"/>
        <n v="813"/>
        <n v="865"/>
        <n v="765"/>
        <n v="638"/>
        <n v="778"/>
        <n v="192"/>
        <n v="400"/>
        <n v="469"/>
        <n v="884"/>
        <n v="910"/>
        <n v="372"/>
        <n v="636"/>
        <n v="433"/>
        <n v="573"/>
        <n v="575"/>
        <n v="918"/>
        <n v="1197"/>
        <n v="216"/>
        <n v="72"/>
        <n v="416"/>
        <n v="254"/>
        <n v="862"/>
        <n v="409"/>
        <n v="561"/>
        <n v="889"/>
        <n v="784"/>
        <n v="417"/>
        <n v="869"/>
        <n v="296"/>
        <n v="418"/>
        <n v="930"/>
        <n v="902"/>
        <n v="1118"/>
        <n v="1242"/>
        <n v="406"/>
        <n v="878"/>
        <n v="479"/>
        <n v="721"/>
        <n v="1161"/>
        <n v="717"/>
        <n v="428"/>
        <n v="929"/>
        <n v="602"/>
        <n v="1109"/>
        <n v="711"/>
        <n v="896"/>
        <n v="480"/>
        <n v="157"/>
        <n v="488"/>
        <n v="149"/>
        <n v="863"/>
        <n v="512"/>
        <n v="1153"/>
        <n v="639"/>
        <n v="545"/>
        <n v="1202"/>
        <n v="151"/>
        <n v="936"/>
        <n v="267"/>
        <n v="524"/>
        <n v="935"/>
        <n v="681"/>
        <n v="735"/>
        <n v="708"/>
        <n v="1022"/>
        <n v="212"/>
        <n v="982"/>
        <n v="659"/>
        <n v="1031"/>
        <n v="666"/>
        <n v="601"/>
        <n v="510"/>
        <n v="759"/>
        <n v="750"/>
        <n v="905"/>
        <n v="798"/>
        <n v="311"/>
        <n v="170"/>
        <n v="282"/>
        <n v="668"/>
        <n v="284"/>
        <n v="641"/>
        <n v="1033"/>
        <n v="646"/>
        <n v="738"/>
        <n v="182"/>
        <n v="431"/>
        <n v="309"/>
        <n v="381"/>
        <n v="553"/>
        <n v="111"/>
        <n v="492"/>
        <n v="1114"/>
        <n v="737"/>
        <n v="703"/>
        <n v="327"/>
        <n v="591"/>
        <n v="1069"/>
        <n v="587"/>
        <n v="976"/>
        <n v="802"/>
        <n v="410"/>
        <n v="250"/>
        <n v="914"/>
        <n v="387"/>
        <n v="314"/>
        <n v="797"/>
        <n v="459"/>
        <n v="637"/>
        <n v="994"/>
        <n v="496"/>
        <n v="354"/>
        <n v="984"/>
        <n v="829"/>
        <n v="106"/>
        <n v="720"/>
        <n v="835"/>
        <n v="1024"/>
        <n v="377"/>
        <n v="663"/>
        <n v="415"/>
        <n v="877"/>
        <n v="456"/>
        <n v="814"/>
        <n v="557"/>
        <n v="842"/>
        <n v="1071"/>
        <n v="682"/>
        <n v="482"/>
        <n v="739"/>
        <n v="1062"/>
        <n v="995"/>
        <n v="895"/>
        <n v="754"/>
        <n v="1193"/>
        <n v="226"/>
        <n v="1119"/>
        <n v="713"/>
        <n v="963"/>
        <n v="304"/>
        <n v="766"/>
        <n v="434"/>
        <n v="513"/>
        <n v="800"/>
        <n v="221"/>
        <n v="256"/>
        <n v="853"/>
        <n v="317"/>
        <n v="461"/>
        <n v="964"/>
        <n v="275"/>
        <n v="861"/>
        <n v="298"/>
        <n v="92"/>
        <n v="1006"/>
        <n v="548"/>
        <n v="286"/>
        <n v="631"/>
        <n v="928"/>
        <n v="123"/>
        <n v="1088"/>
        <n v="171"/>
        <n v="908"/>
        <n v="247"/>
        <n v="834"/>
        <n v="155"/>
        <n v="1087"/>
        <n v="684"/>
        <n v="933"/>
        <n v="235"/>
        <n v="1073"/>
        <n v="597"/>
        <n v="1067"/>
        <n v="816"/>
        <n v="683"/>
        <n v="714"/>
        <n v="824"/>
        <n v="785"/>
        <n v="922"/>
        <n v="570"/>
        <n v="1129"/>
        <n v="185"/>
        <n v="678"/>
        <n v="966"/>
        <n v="879"/>
        <n v="971"/>
        <n v="707"/>
        <n v="595"/>
        <n v="244"/>
        <n v="694"/>
        <n v="515"/>
        <n v="804"/>
        <n v="468"/>
        <n v="786"/>
        <n v="224"/>
        <n v="438"/>
        <n v="390"/>
        <n v="303"/>
        <n v="693"/>
        <n v="1095"/>
        <n v="1075"/>
        <n v="1122"/>
        <n v="820"/>
        <n v="789"/>
        <n v="985"/>
        <n v="301"/>
        <n v="70"/>
        <n v="584"/>
        <n v="238"/>
        <n v="629"/>
        <n v="80"/>
        <n v="401"/>
        <n v="312"/>
        <n v="747"/>
        <n v="330"/>
        <n v="733"/>
        <n v="194"/>
        <n v="277"/>
        <n v="810"/>
        <n v="968"/>
        <n v="270"/>
        <n v="912"/>
        <n v="376"/>
        <n v="695"/>
        <n v="892"/>
        <n v="669"/>
        <n v="926"/>
        <n v="136"/>
        <n v="727"/>
        <n v="600"/>
        <n v="913"/>
        <n v="900"/>
        <n v="823"/>
        <n v="560"/>
        <n v="907"/>
        <n v="186"/>
        <n v="455"/>
        <n v="253"/>
        <n v="794"/>
        <n v="1130"/>
        <n v="1036"/>
        <n v="606"/>
        <n v="791"/>
        <n v="547"/>
        <n v="349"/>
        <n v="1149"/>
        <n v="898"/>
        <n v="522"/>
        <n v="334"/>
        <n v="463"/>
        <n v="579"/>
        <n v="881"/>
        <n v="821"/>
        <n v="566"/>
        <n v="268"/>
        <n v="973"/>
        <n v="336"/>
        <n v="150"/>
        <n v="819"/>
        <n v="1029"/>
        <n v="403"/>
        <n v="607"/>
        <n v="1116"/>
        <n v="740"/>
        <n v="1196"/>
        <n v="710"/>
        <n v="243"/>
        <n v="59"/>
        <n v="320"/>
        <n v="565"/>
        <n v="96"/>
        <n v="582"/>
        <n v="1124"/>
        <n v="704"/>
        <n v="332"/>
        <n v="698"/>
        <n v="726"/>
        <n v="648"/>
        <n v="783"/>
        <n v="614"/>
        <n v="891"/>
        <m/>
        <n v="757"/>
        <n v="141"/>
        <n v="230"/>
        <n v="91"/>
        <n v="494"/>
        <n v="199"/>
        <n v="337"/>
        <n v="86"/>
        <n v="251"/>
        <n v="241"/>
        <n v="259"/>
        <n v="405"/>
        <n v="656"/>
        <n v="569"/>
        <n v="768"/>
        <n v="454"/>
        <n v="568"/>
        <n v="228"/>
        <n v="331"/>
        <n v="188"/>
        <n v="574"/>
        <n v="371"/>
        <n v="140"/>
        <n v="258"/>
        <n v="217"/>
        <n v="93"/>
        <n v="315"/>
        <n v="732"/>
        <n v="61"/>
        <n v="427"/>
        <n v="167"/>
        <n v="110"/>
        <n v="129"/>
        <n v="94"/>
        <n v="57"/>
        <n v="190"/>
        <n v="181"/>
        <n v="650"/>
        <n v="66"/>
        <n v="300"/>
        <n v="715"/>
        <n v="770"/>
        <n v="444"/>
        <n v="365"/>
        <n v="633"/>
        <n v="676"/>
        <n v="310"/>
        <n v="787"/>
        <n v="62"/>
        <n v="771"/>
        <n v="285"/>
        <n v="287"/>
        <n v="423"/>
        <n v="392"/>
        <n v="178"/>
        <n v="97"/>
        <n v="366"/>
        <n v="82"/>
        <n v="76"/>
        <n v="555"/>
        <n v="109"/>
        <n v="195"/>
        <n v="333"/>
        <n v="689"/>
        <n v="623"/>
        <n v="563"/>
        <n v="378"/>
        <n v="56"/>
        <n v="526"/>
        <n v="604"/>
        <n v="761"/>
        <n v="144"/>
        <n v="74"/>
        <n v="404"/>
        <n v="350"/>
        <n v="323"/>
        <n v="98"/>
        <n v="562"/>
        <n v="478"/>
        <n v="412"/>
        <n v="161"/>
        <n v="294"/>
        <n v="200"/>
      </sharedItems>
    </cacheField>
    <cacheField name="purchase_type" numFmtId="0">
      <sharedItems count="3">
        <s v="EMI"/>
        <s v="Discount"/>
        <s v="Full"/>
      </sharedItems>
    </cacheField>
    <cacheField name="Final Amount" numFmtId="164">
      <sharedItems containsSemiMixedTypes="0" containsString="0" containsNumber="1" minValue="0" maxValue="3890149509"/>
    </cacheField>
  </cacheFields>
  <calculatedItems count="1">
    <calculatedItem>
      <pivotArea cacheIndex="1" outline="0" fieldPosition="0">
        <references count="1">
          <reference field="3" count="1">
            <x v="11"/>
          </reference>
        </references>
      </pivotArea>
    </calculatedItem>
  </calculatedItems>
  <extLst>
    <ext xmlns:x14="http://schemas.microsoft.com/office/spreadsheetml/2009/9/main" uri="{725AE2AE-9491-48be-B2B4-4EB974FC3084}">
      <x14:pivotCacheDefinition pivotCacheId="140952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0">
  <r>
    <x v="0"/>
    <x v="0"/>
    <x v="0"/>
    <x v="0"/>
    <s v="SUV"/>
    <x v="0"/>
    <n v="82234"/>
    <n v="315372"/>
    <n v="96"/>
    <n v="0.97"/>
    <n v="6.29"/>
    <n v="1.2"/>
    <n v="8"/>
    <x v="0"/>
    <x v="0"/>
    <n v="83220.808000000005"/>
  </r>
  <r>
    <x v="1"/>
    <x v="1"/>
    <x v="0"/>
    <x v="1"/>
    <s v="Sedan"/>
    <x v="1"/>
    <n v="82291"/>
    <n v="447798"/>
    <n v="234"/>
    <n v="0.97"/>
    <n v="6.29"/>
    <n v="1.2"/>
    <n v="7"/>
    <x v="1"/>
    <x v="0"/>
    <n v="83278.491999999998"/>
  </r>
  <r>
    <x v="2"/>
    <x v="2"/>
    <x v="1"/>
    <x v="2"/>
    <s v="Electric"/>
    <x v="2"/>
    <n v="40594"/>
    <n v="259755"/>
    <n v="25"/>
    <n v="0.97"/>
    <n v="6.29"/>
    <n v="1.2"/>
    <n v="7"/>
    <x v="2"/>
    <x v="0"/>
    <n v="41081.127999999997"/>
  </r>
  <r>
    <x v="3"/>
    <x v="3"/>
    <x v="0"/>
    <x v="3"/>
    <s v="SUV"/>
    <x v="1"/>
    <n v="42371"/>
    <n v="323541"/>
    <n v="319"/>
    <n v="0.97"/>
    <n v="6.29"/>
    <n v="1.2"/>
    <n v="5"/>
    <x v="3"/>
    <x v="0"/>
    <n v="42879.451999999997"/>
  </r>
  <r>
    <x v="0"/>
    <x v="2"/>
    <x v="2"/>
    <x v="4"/>
    <s v="SUV"/>
    <x v="3"/>
    <n v="82315"/>
    <n v="482015"/>
    <n v="367"/>
    <n v="0.97"/>
    <n v="6.29"/>
    <n v="1.2"/>
    <n v="2"/>
    <x v="4"/>
    <x v="1"/>
    <n v="74083.5"/>
  </r>
  <r>
    <x v="4"/>
    <x v="2"/>
    <x v="3"/>
    <x v="3"/>
    <s v="Electric"/>
    <x v="3"/>
    <n v="118564"/>
    <n v="349155"/>
    <n v="172"/>
    <n v="0.97"/>
    <n v="6.29"/>
    <n v="1.2"/>
    <n v="6"/>
    <x v="5"/>
    <x v="0"/>
    <n v="119986.768"/>
  </r>
  <r>
    <x v="0"/>
    <x v="4"/>
    <x v="1"/>
    <x v="5"/>
    <s v="Sedan"/>
    <x v="3"/>
    <n v="51626"/>
    <n v="405398"/>
    <n v="165"/>
    <n v="0.97"/>
    <n v="6.29"/>
    <n v="1.2"/>
    <n v="3"/>
    <x v="6"/>
    <x v="0"/>
    <n v="52245.512000000002"/>
  </r>
  <r>
    <x v="2"/>
    <x v="5"/>
    <x v="4"/>
    <x v="6"/>
    <s v="Sedan"/>
    <x v="0"/>
    <n v="42130"/>
    <n v="487480"/>
    <n v="11"/>
    <n v="0.97"/>
    <n v="6.29"/>
    <n v="1.2"/>
    <n v="4"/>
    <x v="7"/>
    <x v="0"/>
    <n v="42635.56"/>
  </r>
  <r>
    <x v="3"/>
    <x v="1"/>
    <x v="5"/>
    <x v="7"/>
    <s v="SUV"/>
    <x v="0"/>
    <n v="41828"/>
    <n v="92317"/>
    <n v="359"/>
    <n v="0.97"/>
    <n v="6.29"/>
    <n v="1.2"/>
    <n v="10"/>
    <x v="8"/>
    <x v="0"/>
    <n v="42329.936000000002"/>
  </r>
  <r>
    <x v="1"/>
    <x v="5"/>
    <x v="5"/>
    <x v="2"/>
    <s v="Electric"/>
    <x v="1"/>
    <n v="92514"/>
    <n v="228986"/>
    <n v="178"/>
    <n v="0.97"/>
    <n v="6.29"/>
    <n v="1.2"/>
    <n v="2"/>
    <x v="9"/>
    <x v="2"/>
    <n v="92514"/>
  </r>
  <r>
    <x v="2"/>
    <x v="1"/>
    <x v="2"/>
    <x v="8"/>
    <s v="Electric"/>
    <x v="2"/>
    <n v="87664"/>
    <n v="265705"/>
    <n v="324"/>
    <n v="0.97"/>
    <n v="6.29"/>
    <n v="1.2"/>
    <n v="2"/>
    <x v="10"/>
    <x v="2"/>
    <n v="87664"/>
  </r>
  <r>
    <x v="2"/>
    <x v="6"/>
    <x v="6"/>
    <x v="8"/>
    <s v="Electric"/>
    <x v="3"/>
    <n v="52883"/>
    <n v="414633"/>
    <n v="334"/>
    <n v="0.97"/>
    <n v="6.29"/>
    <n v="1.2"/>
    <n v="8"/>
    <x v="11"/>
    <x v="0"/>
    <n v="53517.595999999998"/>
  </r>
  <r>
    <x v="5"/>
    <x v="0"/>
    <x v="7"/>
    <x v="8"/>
    <s v="SUV"/>
    <x v="1"/>
    <n v="78059"/>
    <n v="226326"/>
    <n v="384"/>
    <n v="0.97"/>
    <n v="6.29"/>
    <n v="1.2"/>
    <n v="8"/>
    <x v="12"/>
    <x v="0"/>
    <n v="78995.707999999999"/>
  </r>
  <r>
    <x v="6"/>
    <x v="2"/>
    <x v="7"/>
    <x v="0"/>
    <s v="Electric"/>
    <x v="0"/>
    <n v="119078"/>
    <n v="352240"/>
    <n v="101"/>
    <n v="0.97"/>
    <n v="6.29"/>
    <n v="1.2"/>
    <n v="10"/>
    <x v="13"/>
    <x v="0"/>
    <n v="120506.936"/>
  </r>
  <r>
    <x v="3"/>
    <x v="6"/>
    <x v="8"/>
    <x v="8"/>
    <s v="Electric"/>
    <x v="0"/>
    <n v="77932"/>
    <n v="365929"/>
    <n v="190"/>
    <n v="0.97"/>
    <n v="6.29"/>
    <n v="1.2"/>
    <n v="6"/>
    <x v="14"/>
    <x v="0"/>
    <n v="78867.183999999994"/>
  </r>
  <r>
    <x v="7"/>
    <x v="7"/>
    <x v="2"/>
    <x v="7"/>
    <s v="SUV"/>
    <x v="2"/>
    <n v="96269"/>
    <n v="102344"/>
    <n v="240"/>
    <n v="0.97"/>
    <n v="6.29"/>
    <n v="1.2"/>
    <n v="5"/>
    <x v="15"/>
    <x v="0"/>
    <n v="97424.228000000003"/>
  </r>
  <r>
    <x v="2"/>
    <x v="8"/>
    <x v="1"/>
    <x v="6"/>
    <s v="Sedan"/>
    <x v="2"/>
    <n v="110986"/>
    <n v="296060"/>
    <n v="310"/>
    <n v="0.97"/>
    <n v="6.29"/>
    <n v="1.2"/>
    <n v="8"/>
    <x v="16"/>
    <x v="0"/>
    <n v="112317.83199999999"/>
  </r>
  <r>
    <x v="6"/>
    <x v="9"/>
    <x v="2"/>
    <x v="8"/>
    <s v="Sedan"/>
    <x v="2"/>
    <n v="37035"/>
    <n v="432526"/>
    <n v="157"/>
    <n v="0.97"/>
    <n v="6.29"/>
    <n v="1.2"/>
    <n v="4"/>
    <x v="17"/>
    <x v="0"/>
    <n v="37479.42"/>
  </r>
  <r>
    <x v="7"/>
    <x v="1"/>
    <x v="2"/>
    <x v="3"/>
    <s v="SUV"/>
    <x v="1"/>
    <n v="75745"/>
    <n v="249618"/>
    <n v="289"/>
    <n v="0.97"/>
    <n v="6.29"/>
    <n v="1.2"/>
    <n v="4"/>
    <x v="18"/>
    <x v="0"/>
    <n v="76653.94"/>
  </r>
  <r>
    <x v="3"/>
    <x v="7"/>
    <x v="2"/>
    <x v="3"/>
    <s v="Electric"/>
    <x v="0"/>
    <n v="52241"/>
    <n v="209484"/>
    <n v="198"/>
    <n v="0.97"/>
    <n v="6.29"/>
    <n v="1.2"/>
    <n v="5"/>
    <x v="19"/>
    <x v="0"/>
    <n v="52867.892"/>
  </r>
  <r>
    <x v="8"/>
    <x v="8"/>
    <x v="5"/>
    <x v="0"/>
    <s v="SUV"/>
    <x v="0"/>
    <n v="87975"/>
    <n v="160489"/>
    <n v="356"/>
    <n v="0.97"/>
    <n v="6.29"/>
    <n v="1.2"/>
    <n v="1"/>
    <x v="20"/>
    <x v="2"/>
    <n v="87975"/>
  </r>
  <r>
    <x v="4"/>
    <x v="3"/>
    <x v="2"/>
    <x v="7"/>
    <s v="Sedan"/>
    <x v="2"/>
    <n v="58154"/>
    <n v="494874"/>
    <n v="359"/>
    <n v="0.97"/>
    <n v="6.29"/>
    <n v="1.2"/>
    <n v="1"/>
    <x v="21"/>
    <x v="1"/>
    <n v="52338.6"/>
  </r>
  <r>
    <x v="6"/>
    <x v="10"/>
    <x v="3"/>
    <x v="6"/>
    <s v="Sedan"/>
    <x v="3"/>
    <n v="60625"/>
    <n v="492765"/>
    <n v="323"/>
    <n v="0.97"/>
    <n v="6.29"/>
    <n v="1.2"/>
    <n v="2"/>
    <x v="22"/>
    <x v="1"/>
    <n v="54562.5"/>
  </r>
  <r>
    <x v="9"/>
    <x v="0"/>
    <x v="7"/>
    <x v="2"/>
    <s v="SUV"/>
    <x v="2"/>
    <n v="79950"/>
    <n v="308667"/>
    <n v="137"/>
    <n v="0.97"/>
    <n v="6.29"/>
    <n v="1.2"/>
    <n v="8"/>
    <x v="23"/>
    <x v="0"/>
    <n v="80909.399999999994"/>
  </r>
  <r>
    <x v="8"/>
    <x v="5"/>
    <x v="8"/>
    <x v="1"/>
    <s v="SUV"/>
    <x v="1"/>
    <n v="91396"/>
    <n v="61549"/>
    <n v="16"/>
    <n v="0.97"/>
    <n v="6.29"/>
    <n v="1.2"/>
    <n v="7"/>
    <x v="24"/>
    <x v="0"/>
    <n v="92492.752000000008"/>
  </r>
  <r>
    <x v="4"/>
    <x v="5"/>
    <x v="3"/>
    <x v="6"/>
    <s v="Sedan"/>
    <x v="2"/>
    <n v="48331"/>
    <n v="75739"/>
    <n v="56"/>
    <n v="0.97"/>
    <n v="6.29"/>
    <n v="1.2"/>
    <n v="10"/>
    <x v="25"/>
    <x v="0"/>
    <n v="48910.972000000002"/>
  </r>
  <r>
    <x v="5"/>
    <x v="6"/>
    <x v="8"/>
    <x v="1"/>
    <s v="SUV"/>
    <x v="2"/>
    <n v="98927"/>
    <n v="333353"/>
    <n v="62"/>
    <n v="0.97"/>
    <n v="6.29"/>
    <n v="1.2"/>
    <n v="9"/>
    <x v="26"/>
    <x v="0"/>
    <n v="100114.124"/>
  </r>
  <r>
    <x v="0"/>
    <x v="4"/>
    <x v="4"/>
    <x v="5"/>
    <s v="Sedan"/>
    <x v="1"/>
    <n v="119719"/>
    <n v="157051"/>
    <n v="196"/>
    <n v="0.97"/>
    <n v="6.29"/>
    <n v="1.2"/>
    <n v="5"/>
    <x v="27"/>
    <x v="0"/>
    <n v="121155.628"/>
  </r>
  <r>
    <x v="1"/>
    <x v="8"/>
    <x v="8"/>
    <x v="1"/>
    <s v="SUV"/>
    <x v="2"/>
    <n v="98014"/>
    <n v="65116"/>
    <n v="47"/>
    <n v="0.97"/>
    <n v="6.29"/>
    <n v="1.2"/>
    <n v="2"/>
    <x v="28"/>
    <x v="2"/>
    <n v="98014"/>
  </r>
  <r>
    <x v="9"/>
    <x v="10"/>
    <x v="7"/>
    <x v="4"/>
    <s v="SUV"/>
    <x v="0"/>
    <n v="74346"/>
    <n v="70045"/>
    <n v="235"/>
    <n v="0.97"/>
    <n v="6.29"/>
    <n v="1.2"/>
    <n v="7"/>
    <x v="29"/>
    <x v="0"/>
    <n v="75238.152000000002"/>
  </r>
  <r>
    <x v="5"/>
    <x v="7"/>
    <x v="7"/>
    <x v="3"/>
    <s v="SUV"/>
    <x v="3"/>
    <n v="105411"/>
    <n v="469543"/>
    <n v="62"/>
    <n v="0.97"/>
    <n v="6.29"/>
    <n v="1.2"/>
    <n v="8"/>
    <x v="30"/>
    <x v="0"/>
    <n v="106675.932"/>
  </r>
  <r>
    <x v="3"/>
    <x v="0"/>
    <x v="2"/>
    <x v="7"/>
    <s v="Sedan"/>
    <x v="2"/>
    <n v="89478"/>
    <n v="85709"/>
    <n v="233"/>
    <n v="0.97"/>
    <n v="6.29"/>
    <n v="1.2"/>
    <n v="7"/>
    <x v="31"/>
    <x v="0"/>
    <n v="90551.736000000004"/>
  </r>
  <r>
    <x v="5"/>
    <x v="8"/>
    <x v="9"/>
    <x v="9"/>
    <s v="SUV"/>
    <x v="1"/>
    <n v="47254"/>
    <n v="355761"/>
    <n v="163"/>
    <n v="0.97"/>
    <n v="6.29"/>
    <n v="1.2"/>
    <n v="7"/>
    <x v="32"/>
    <x v="0"/>
    <n v="47821.048000000003"/>
  </r>
  <r>
    <x v="0"/>
    <x v="10"/>
    <x v="4"/>
    <x v="0"/>
    <s v="Sedan"/>
    <x v="3"/>
    <n v="90734"/>
    <n v="207977"/>
    <n v="57"/>
    <n v="0.97"/>
    <n v="6.29"/>
    <n v="1.2"/>
    <n v="5"/>
    <x v="33"/>
    <x v="0"/>
    <n v="91822.808000000005"/>
  </r>
  <r>
    <x v="3"/>
    <x v="9"/>
    <x v="1"/>
    <x v="4"/>
    <s v="Sedan"/>
    <x v="1"/>
    <n v="63621"/>
    <n v="253675"/>
    <n v="360"/>
    <n v="0.97"/>
    <n v="6.29"/>
    <n v="1.2"/>
    <n v="2"/>
    <x v="34"/>
    <x v="2"/>
    <n v="63621"/>
  </r>
  <r>
    <x v="9"/>
    <x v="1"/>
    <x v="0"/>
    <x v="1"/>
    <s v="SUV"/>
    <x v="3"/>
    <n v="111441"/>
    <n v="279167"/>
    <n v="156"/>
    <n v="0.97"/>
    <n v="6.29"/>
    <n v="1.2"/>
    <n v="6"/>
    <x v="35"/>
    <x v="0"/>
    <n v="112778.292"/>
  </r>
  <r>
    <x v="0"/>
    <x v="5"/>
    <x v="8"/>
    <x v="8"/>
    <s v="SUV"/>
    <x v="3"/>
    <n v="81121"/>
    <n v="431923"/>
    <n v="73"/>
    <n v="0.97"/>
    <n v="6.29"/>
    <n v="1.2"/>
    <n v="4"/>
    <x v="36"/>
    <x v="0"/>
    <n v="82094.452000000005"/>
  </r>
  <r>
    <x v="7"/>
    <x v="7"/>
    <x v="9"/>
    <x v="7"/>
    <s v="Sedan"/>
    <x v="2"/>
    <n v="116418"/>
    <n v="355063"/>
    <n v="358"/>
    <n v="0.97"/>
    <n v="6.29"/>
    <n v="1.2"/>
    <n v="10"/>
    <x v="37"/>
    <x v="0"/>
    <n v="117815.016"/>
  </r>
  <r>
    <x v="1"/>
    <x v="5"/>
    <x v="2"/>
    <x v="4"/>
    <s v="Sedan"/>
    <x v="0"/>
    <n v="95197"/>
    <n v="395665"/>
    <n v="191"/>
    <n v="0.97"/>
    <n v="6.29"/>
    <n v="1.2"/>
    <n v="2"/>
    <x v="38"/>
    <x v="1"/>
    <n v="85677.3"/>
  </r>
  <r>
    <x v="9"/>
    <x v="7"/>
    <x v="5"/>
    <x v="0"/>
    <s v="Electric"/>
    <x v="2"/>
    <n v="119577"/>
    <n v="269222"/>
    <n v="134"/>
    <n v="0.97"/>
    <n v="6.29"/>
    <n v="1.2"/>
    <n v="9"/>
    <x v="39"/>
    <x v="0"/>
    <n v="121011.924"/>
  </r>
  <r>
    <x v="7"/>
    <x v="6"/>
    <x v="1"/>
    <x v="3"/>
    <s v="Sedan"/>
    <x v="1"/>
    <n v="77431"/>
    <n v="239518"/>
    <n v="188"/>
    <n v="0.97"/>
    <n v="6.29"/>
    <n v="1.2"/>
    <n v="7"/>
    <x v="40"/>
    <x v="0"/>
    <n v="78360.172000000006"/>
  </r>
  <r>
    <x v="4"/>
    <x v="4"/>
    <x v="6"/>
    <x v="7"/>
    <s v="Electric"/>
    <x v="1"/>
    <n v="39837"/>
    <n v="233500"/>
    <n v="48"/>
    <n v="0.97"/>
    <n v="6.29"/>
    <n v="1.2"/>
    <n v="6"/>
    <x v="41"/>
    <x v="0"/>
    <n v="40315.044000000002"/>
  </r>
  <r>
    <x v="9"/>
    <x v="7"/>
    <x v="9"/>
    <x v="0"/>
    <s v="Electric"/>
    <x v="3"/>
    <n v="118163"/>
    <n v="491110"/>
    <n v="269"/>
    <n v="0.97"/>
    <n v="6.29"/>
    <n v="1.2"/>
    <n v="5"/>
    <x v="42"/>
    <x v="0"/>
    <n v="119580.95600000001"/>
  </r>
  <r>
    <x v="4"/>
    <x v="5"/>
    <x v="5"/>
    <x v="5"/>
    <s v="Electric"/>
    <x v="3"/>
    <n v="106232"/>
    <n v="318591"/>
    <n v="391"/>
    <n v="0.97"/>
    <n v="6.29"/>
    <n v="1.2"/>
    <n v="3"/>
    <x v="43"/>
    <x v="0"/>
    <n v="107506.784"/>
  </r>
  <r>
    <x v="3"/>
    <x v="6"/>
    <x v="4"/>
    <x v="5"/>
    <s v="SUV"/>
    <x v="0"/>
    <n v="83994"/>
    <n v="55499"/>
    <n v="12"/>
    <n v="0.97"/>
    <n v="6.29"/>
    <n v="1.2"/>
    <n v="10"/>
    <x v="44"/>
    <x v="0"/>
    <n v="85001.928"/>
  </r>
  <r>
    <x v="7"/>
    <x v="7"/>
    <x v="2"/>
    <x v="0"/>
    <s v="SUV"/>
    <x v="2"/>
    <n v="114079"/>
    <n v="89041"/>
    <n v="73"/>
    <n v="0.97"/>
    <n v="6.29"/>
    <n v="1.2"/>
    <n v="10"/>
    <x v="45"/>
    <x v="0"/>
    <n v="115447.948"/>
  </r>
  <r>
    <x v="1"/>
    <x v="9"/>
    <x v="1"/>
    <x v="4"/>
    <s v="Sedan"/>
    <x v="1"/>
    <n v="47615"/>
    <n v="343459"/>
    <n v="38"/>
    <n v="0.97"/>
    <n v="6.29"/>
    <n v="1.2"/>
    <n v="4"/>
    <x v="46"/>
    <x v="0"/>
    <n v="48186.38"/>
  </r>
  <r>
    <x v="0"/>
    <x v="4"/>
    <x v="1"/>
    <x v="7"/>
    <s v="Electric"/>
    <x v="3"/>
    <n v="36466"/>
    <n v="182371"/>
    <n v="381"/>
    <n v="0.97"/>
    <n v="6.29"/>
    <n v="1.2"/>
    <n v="3"/>
    <x v="47"/>
    <x v="0"/>
    <n v="36903.591999999997"/>
  </r>
  <r>
    <x v="2"/>
    <x v="7"/>
    <x v="1"/>
    <x v="4"/>
    <s v="SUV"/>
    <x v="0"/>
    <n v="65771"/>
    <n v="432650"/>
    <n v="20"/>
    <n v="0.97"/>
    <n v="6.29"/>
    <n v="1.2"/>
    <n v="8"/>
    <x v="48"/>
    <x v="0"/>
    <n v="66560.252000000008"/>
  </r>
  <r>
    <x v="5"/>
    <x v="6"/>
    <x v="4"/>
    <x v="2"/>
    <s v="SUV"/>
    <x v="1"/>
    <n v="118886"/>
    <n v="186066"/>
    <n v="106"/>
    <n v="0.97"/>
    <n v="6.29"/>
    <n v="1.2"/>
    <n v="3"/>
    <x v="49"/>
    <x v="0"/>
    <n v="120312.632"/>
  </r>
  <r>
    <x v="8"/>
    <x v="3"/>
    <x v="8"/>
    <x v="1"/>
    <s v="SUV"/>
    <x v="3"/>
    <n v="100911"/>
    <n v="276486"/>
    <n v="367"/>
    <n v="0.97"/>
    <n v="6.29"/>
    <n v="1.2"/>
    <n v="7"/>
    <x v="50"/>
    <x v="0"/>
    <n v="102121.932"/>
  </r>
  <r>
    <x v="1"/>
    <x v="8"/>
    <x v="6"/>
    <x v="2"/>
    <s v="SUV"/>
    <x v="1"/>
    <n v="55746"/>
    <n v="262235"/>
    <n v="212"/>
    <n v="0.97"/>
    <n v="6.29"/>
    <n v="1.2"/>
    <n v="7"/>
    <x v="51"/>
    <x v="0"/>
    <n v="56414.951999999997"/>
  </r>
  <r>
    <x v="7"/>
    <x v="11"/>
    <x v="4"/>
    <x v="5"/>
    <s v="SUV"/>
    <x v="0"/>
    <n v="95739"/>
    <n v="307831"/>
    <n v="30"/>
    <n v="0.97"/>
    <n v="6.29"/>
    <n v="1.2"/>
    <n v="7"/>
    <x v="52"/>
    <x v="0"/>
    <n v="96887.868000000002"/>
  </r>
  <r>
    <x v="2"/>
    <x v="10"/>
    <x v="0"/>
    <x v="3"/>
    <s v="Electric"/>
    <x v="0"/>
    <n v="108369"/>
    <n v="450705"/>
    <n v="48"/>
    <n v="0.97"/>
    <n v="6.29"/>
    <n v="1.2"/>
    <n v="7"/>
    <x v="53"/>
    <x v="0"/>
    <n v="109669.428"/>
  </r>
  <r>
    <x v="1"/>
    <x v="11"/>
    <x v="6"/>
    <x v="6"/>
    <s v="Electric"/>
    <x v="1"/>
    <n v="36893"/>
    <n v="403791"/>
    <n v="232"/>
    <n v="0.97"/>
    <n v="6.29"/>
    <n v="1.2"/>
    <n v="2"/>
    <x v="17"/>
    <x v="1"/>
    <n v="33203.700000000004"/>
  </r>
  <r>
    <x v="7"/>
    <x v="3"/>
    <x v="7"/>
    <x v="1"/>
    <s v="Electric"/>
    <x v="2"/>
    <n v="65573"/>
    <n v="344499"/>
    <n v="111"/>
    <n v="0.97"/>
    <n v="6.29"/>
    <n v="1.2"/>
    <n v="10"/>
    <x v="54"/>
    <x v="0"/>
    <n v="66359.876000000004"/>
  </r>
  <r>
    <x v="6"/>
    <x v="11"/>
    <x v="2"/>
    <x v="5"/>
    <s v="Electric"/>
    <x v="1"/>
    <n v="75874"/>
    <n v="385949"/>
    <n v="55"/>
    <n v="0.97"/>
    <n v="6.29"/>
    <n v="1.2"/>
    <n v="3"/>
    <x v="55"/>
    <x v="0"/>
    <n v="76784.487999999998"/>
  </r>
  <r>
    <x v="6"/>
    <x v="3"/>
    <x v="4"/>
    <x v="4"/>
    <s v="Sedan"/>
    <x v="3"/>
    <n v="112362"/>
    <n v="380511"/>
    <n v="75"/>
    <n v="0.97"/>
    <n v="6.29"/>
    <n v="1.2"/>
    <n v="10"/>
    <x v="56"/>
    <x v="0"/>
    <n v="113710.344"/>
  </r>
  <r>
    <x v="4"/>
    <x v="0"/>
    <x v="5"/>
    <x v="4"/>
    <s v="Electric"/>
    <x v="2"/>
    <n v="68367"/>
    <n v="422050"/>
    <n v="100"/>
    <n v="0.97"/>
    <n v="6.29"/>
    <n v="1.2"/>
    <n v="9"/>
    <x v="57"/>
    <x v="0"/>
    <n v="69187.403999999995"/>
  </r>
  <r>
    <x v="1"/>
    <x v="3"/>
    <x v="6"/>
    <x v="4"/>
    <s v="SUV"/>
    <x v="3"/>
    <n v="56199"/>
    <n v="429553"/>
    <n v="173"/>
    <n v="0.97"/>
    <n v="6.29"/>
    <n v="1.2"/>
    <n v="3"/>
    <x v="17"/>
    <x v="0"/>
    <n v="56873.387999999999"/>
  </r>
  <r>
    <x v="6"/>
    <x v="3"/>
    <x v="0"/>
    <x v="3"/>
    <s v="Electric"/>
    <x v="1"/>
    <n v="109328"/>
    <n v="389499"/>
    <n v="120"/>
    <n v="0.97"/>
    <n v="6.29"/>
    <n v="1.2"/>
    <n v="2"/>
    <x v="58"/>
    <x v="1"/>
    <n v="98395.199999999997"/>
  </r>
  <r>
    <x v="7"/>
    <x v="2"/>
    <x v="7"/>
    <x v="2"/>
    <s v="Sedan"/>
    <x v="2"/>
    <n v="92724"/>
    <n v="166220"/>
    <n v="347"/>
    <n v="0.97"/>
    <n v="6.29"/>
    <n v="1.2"/>
    <n v="9"/>
    <x v="59"/>
    <x v="0"/>
    <n v="93836.687999999995"/>
  </r>
  <r>
    <x v="4"/>
    <x v="3"/>
    <x v="8"/>
    <x v="6"/>
    <s v="SUV"/>
    <x v="3"/>
    <n v="71405"/>
    <n v="271421"/>
    <n v="132"/>
    <n v="0.97"/>
    <n v="6.29"/>
    <n v="1.2"/>
    <n v="10"/>
    <x v="60"/>
    <x v="0"/>
    <n v="72261.86"/>
  </r>
  <r>
    <x v="7"/>
    <x v="9"/>
    <x v="5"/>
    <x v="4"/>
    <s v="Electric"/>
    <x v="1"/>
    <n v="50989"/>
    <n v="399317"/>
    <n v="202"/>
    <n v="0.97"/>
    <n v="6.29"/>
    <n v="1.2"/>
    <n v="9"/>
    <x v="61"/>
    <x v="0"/>
    <n v="51600.868000000002"/>
  </r>
  <r>
    <x v="4"/>
    <x v="8"/>
    <x v="6"/>
    <x v="9"/>
    <s v="Electric"/>
    <x v="1"/>
    <n v="63931"/>
    <n v="314140"/>
    <n v="108"/>
    <n v="0.97"/>
    <n v="6.29"/>
    <n v="1.2"/>
    <n v="4"/>
    <x v="13"/>
    <x v="0"/>
    <n v="64698.171999999999"/>
  </r>
  <r>
    <x v="1"/>
    <x v="1"/>
    <x v="2"/>
    <x v="1"/>
    <s v="Electric"/>
    <x v="2"/>
    <n v="44290"/>
    <n v="301071"/>
    <n v="300"/>
    <n v="0.97"/>
    <n v="6.29"/>
    <n v="1.2"/>
    <n v="9"/>
    <x v="62"/>
    <x v="0"/>
    <n v="44821.48"/>
  </r>
  <r>
    <x v="2"/>
    <x v="7"/>
    <x v="5"/>
    <x v="7"/>
    <s v="SUV"/>
    <x v="1"/>
    <n v="73367"/>
    <n v="356531"/>
    <n v="168"/>
    <n v="0.97"/>
    <n v="6.29"/>
    <n v="1.2"/>
    <n v="3"/>
    <x v="63"/>
    <x v="0"/>
    <n v="74247.403999999995"/>
  </r>
  <r>
    <x v="0"/>
    <x v="10"/>
    <x v="7"/>
    <x v="9"/>
    <s v="SUV"/>
    <x v="0"/>
    <n v="114878"/>
    <n v="53089"/>
    <n v="112"/>
    <n v="0.97"/>
    <n v="6.29"/>
    <n v="1.2"/>
    <n v="7"/>
    <x v="58"/>
    <x v="0"/>
    <n v="116256.53600000001"/>
  </r>
  <r>
    <x v="9"/>
    <x v="4"/>
    <x v="5"/>
    <x v="6"/>
    <s v="Sedan"/>
    <x v="3"/>
    <n v="114481"/>
    <n v="410971"/>
    <n v="394"/>
    <n v="0.97"/>
    <n v="6.29"/>
    <n v="1.2"/>
    <n v="7"/>
    <x v="64"/>
    <x v="0"/>
    <n v="115854.772"/>
  </r>
  <r>
    <x v="2"/>
    <x v="8"/>
    <x v="3"/>
    <x v="3"/>
    <s v="SUV"/>
    <x v="3"/>
    <n v="111298"/>
    <n v="332803"/>
    <n v="290"/>
    <n v="0.97"/>
    <n v="6.29"/>
    <n v="1.2"/>
    <n v="8"/>
    <x v="65"/>
    <x v="0"/>
    <n v="112633.576"/>
  </r>
  <r>
    <x v="3"/>
    <x v="5"/>
    <x v="9"/>
    <x v="6"/>
    <s v="SUV"/>
    <x v="1"/>
    <n v="65133"/>
    <n v="357322"/>
    <n v="52"/>
    <n v="0.97"/>
    <n v="6.29"/>
    <n v="1.2"/>
    <n v="10"/>
    <x v="66"/>
    <x v="0"/>
    <n v="65914.596000000005"/>
  </r>
  <r>
    <x v="7"/>
    <x v="1"/>
    <x v="8"/>
    <x v="7"/>
    <s v="Electric"/>
    <x v="1"/>
    <n v="62052"/>
    <n v="145965"/>
    <n v="93"/>
    <n v="0.97"/>
    <n v="6.29"/>
    <n v="1.2"/>
    <n v="4"/>
    <x v="67"/>
    <x v="0"/>
    <n v="62796.624000000003"/>
  </r>
  <r>
    <x v="3"/>
    <x v="0"/>
    <x v="7"/>
    <x v="1"/>
    <s v="SUV"/>
    <x v="0"/>
    <n v="75475"/>
    <n v="131268"/>
    <n v="200"/>
    <n v="0.97"/>
    <n v="6.29"/>
    <n v="1.2"/>
    <n v="3"/>
    <x v="68"/>
    <x v="0"/>
    <n v="76380.7"/>
  </r>
  <r>
    <x v="2"/>
    <x v="0"/>
    <x v="5"/>
    <x v="7"/>
    <s v="Electric"/>
    <x v="2"/>
    <n v="117666"/>
    <n v="397186"/>
    <n v="60"/>
    <n v="0.97"/>
    <n v="6.29"/>
    <n v="1.2"/>
    <n v="3"/>
    <x v="69"/>
    <x v="0"/>
    <n v="119077.992"/>
  </r>
  <r>
    <x v="4"/>
    <x v="3"/>
    <x v="9"/>
    <x v="0"/>
    <s v="Electric"/>
    <x v="1"/>
    <n v="92656"/>
    <n v="418615"/>
    <n v="395"/>
    <n v="0.97"/>
    <n v="6.29"/>
    <n v="1.2"/>
    <n v="5"/>
    <x v="70"/>
    <x v="0"/>
    <n v="93767.872000000003"/>
  </r>
  <r>
    <x v="9"/>
    <x v="8"/>
    <x v="9"/>
    <x v="1"/>
    <s v="SUV"/>
    <x v="1"/>
    <n v="39633"/>
    <n v="251798"/>
    <n v="219"/>
    <n v="0.97"/>
    <n v="6.29"/>
    <n v="1.2"/>
    <n v="1"/>
    <x v="71"/>
    <x v="2"/>
    <n v="39633"/>
  </r>
  <r>
    <x v="9"/>
    <x v="6"/>
    <x v="5"/>
    <x v="6"/>
    <s v="Sedan"/>
    <x v="1"/>
    <n v="52304"/>
    <n v="382255"/>
    <n v="135"/>
    <n v="0.97"/>
    <n v="6.29"/>
    <n v="1.2"/>
    <n v="10"/>
    <x v="72"/>
    <x v="0"/>
    <n v="52931.648000000001"/>
  </r>
  <r>
    <x v="8"/>
    <x v="2"/>
    <x v="2"/>
    <x v="4"/>
    <s v="Sedan"/>
    <x v="1"/>
    <n v="81546"/>
    <n v="287103"/>
    <n v="78"/>
    <n v="0.97"/>
    <n v="6.29"/>
    <n v="1.2"/>
    <n v="3"/>
    <x v="73"/>
    <x v="0"/>
    <n v="82524.551999999996"/>
  </r>
  <r>
    <x v="9"/>
    <x v="11"/>
    <x v="3"/>
    <x v="6"/>
    <s v="SUV"/>
    <x v="3"/>
    <n v="42008"/>
    <n v="294754"/>
    <n v="274"/>
    <n v="0.97"/>
    <n v="6.29"/>
    <n v="1.2"/>
    <n v="6"/>
    <x v="74"/>
    <x v="0"/>
    <n v="42512.095999999998"/>
  </r>
  <r>
    <x v="0"/>
    <x v="5"/>
    <x v="4"/>
    <x v="6"/>
    <s v="Sedan"/>
    <x v="1"/>
    <n v="83291"/>
    <n v="215637"/>
    <n v="267"/>
    <n v="0.97"/>
    <n v="6.29"/>
    <n v="1.2"/>
    <n v="3"/>
    <x v="75"/>
    <x v="0"/>
    <n v="84290.491999999998"/>
  </r>
  <r>
    <x v="9"/>
    <x v="0"/>
    <x v="3"/>
    <x v="1"/>
    <s v="Electric"/>
    <x v="3"/>
    <n v="62405"/>
    <n v="412579"/>
    <n v="197"/>
    <n v="0.97"/>
    <n v="6.29"/>
    <n v="1.2"/>
    <n v="5"/>
    <x v="76"/>
    <x v="0"/>
    <n v="63153.86"/>
  </r>
  <r>
    <x v="2"/>
    <x v="10"/>
    <x v="5"/>
    <x v="0"/>
    <s v="Electric"/>
    <x v="1"/>
    <n v="71386"/>
    <n v="139242"/>
    <n v="239"/>
    <n v="0.97"/>
    <n v="6.29"/>
    <n v="1.2"/>
    <n v="9"/>
    <x v="77"/>
    <x v="0"/>
    <n v="72242.631999999998"/>
  </r>
  <r>
    <x v="8"/>
    <x v="0"/>
    <x v="8"/>
    <x v="6"/>
    <s v="SUV"/>
    <x v="2"/>
    <n v="55827"/>
    <n v="425348"/>
    <n v="198"/>
    <n v="0.97"/>
    <n v="6.29"/>
    <n v="1.2"/>
    <n v="2"/>
    <x v="78"/>
    <x v="1"/>
    <n v="50244.3"/>
  </r>
  <r>
    <x v="2"/>
    <x v="4"/>
    <x v="4"/>
    <x v="9"/>
    <s v="Sedan"/>
    <x v="0"/>
    <n v="68040"/>
    <n v="203956"/>
    <n v="19"/>
    <n v="0.97"/>
    <n v="6.29"/>
    <n v="1.2"/>
    <n v="2"/>
    <x v="79"/>
    <x v="2"/>
    <n v="68040"/>
  </r>
  <r>
    <x v="2"/>
    <x v="7"/>
    <x v="7"/>
    <x v="5"/>
    <s v="Sedan"/>
    <x v="2"/>
    <n v="95354"/>
    <n v="329343"/>
    <n v="123"/>
    <n v="0.97"/>
    <n v="6.29"/>
    <n v="1.2"/>
    <n v="6"/>
    <x v="80"/>
    <x v="0"/>
    <n v="96498.248000000007"/>
  </r>
  <r>
    <x v="5"/>
    <x v="0"/>
    <x v="3"/>
    <x v="8"/>
    <s v="Electric"/>
    <x v="1"/>
    <n v="113543"/>
    <n v="110038"/>
    <n v="85"/>
    <n v="0.97"/>
    <n v="6.29"/>
    <n v="1.2"/>
    <n v="6"/>
    <x v="81"/>
    <x v="0"/>
    <n v="114905.516"/>
  </r>
  <r>
    <x v="8"/>
    <x v="4"/>
    <x v="5"/>
    <x v="8"/>
    <s v="SUV"/>
    <x v="1"/>
    <n v="53157"/>
    <n v="107786"/>
    <n v="173"/>
    <n v="0.97"/>
    <n v="6.29"/>
    <n v="1.2"/>
    <n v="8"/>
    <x v="82"/>
    <x v="0"/>
    <n v="53794.883999999998"/>
  </r>
  <r>
    <x v="2"/>
    <x v="8"/>
    <x v="3"/>
    <x v="6"/>
    <s v="Sedan"/>
    <x v="1"/>
    <n v="70315"/>
    <n v="421780"/>
    <n v="94"/>
    <n v="0.97"/>
    <n v="6.29"/>
    <n v="1.2"/>
    <n v="2"/>
    <x v="83"/>
    <x v="1"/>
    <n v="63283.5"/>
  </r>
  <r>
    <x v="5"/>
    <x v="8"/>
    <x v="4"/>
    <x v="9"/>
    <s v="SUV"/>
    <x v="2"/>
    <n v="70932"/>
    <n v="286042"/>
    <n v="58"/>
    <n v="0.97"/>
    <n v="6.29"/>
    <n v="1.2"/>
    <n v="9"/>
    <x v="84"/>
    <x v="0"/>
    <n v="71783.183999999994"/>
  </r>
  <r>
    <x v="5"/>
    <x v="2"/>
    <x v="0"/>
    <x v="4"/>
    <s v="Sedan"/>
    <x v="1"/>
    <n v="56164"/>
    <n v="361438"/>
    <n v="335"/>
    <n v="0.97"/>
    <n v="6.29"/>
    <n v="1.2"/>
    <n v="2"/>
    <x v="85"/>
    <x v="1"/>
    <n v="50547.6"/>
  </r>
  <r>
    <x v="8"/>
    <x v="1"/>
    <x v="6"/>
    <x v="3"/>
    <s v="Electric"/>
    <x v="2"/>
    <n v="49414"/>
    <n v="259087"/>
    <n v="186"/>
    <n v="0.97"/>
    <n v="6.29"/>
    <n v="1.2"/>
    <n v="1"/>
    <x v="86"/>
    <x v="2"/>
    <n v="49414"/>
  </r>
  <r>
    <x v="3"/>
    <x v="0"/>
    <x v="3"/>
    <x v="3"/>
    <s v="Electric"/>
    <x v="3"/>
    <n v="49327"/>
    <n v="215250"/>
    <n v="396"/>
    <n v="0.97"/>
    <n v="6.29"/>
    <n v="1.2"/>
    <n v="10"/>
    <x v="87"/>
    <x v="0"/>
    <n v="49918.923999999999"/>
  </r>
  <r>
    <x v="4"/>
    <x v="10"/>
    <x v="7"/>
    <x v="1"/>
    <s v="SUV"/>
    <x v="0"/>
    <n v="35946"/>
    <n v="455881"/>
    <n v="398"/>
    <n v="0.97"/>
    <n v="6.29"/>
    <n v="1.2"/>
    <n v="2"/>
    <x v="88"/>
    <x v="1"/>
    <n v="32351.4"/>
  </r>
  <r>
    <x v="0"/>
    <x v="0"/>
    <x v="7"/>
    <x v="8"/>
    <s v="Electric"/>
    <x v="0"/>
    <n v="49693"/>
    <n v="312678"/>
    <n v="227"/>
    <n v="0.97"/>
    <n v="6.29"/>
    <n v="1.2"/>
    <n v="7"/>
    <x v="89"/>
    <x v="0"/>
    <n v="50289.315999999999"/>
  </r>
  <r>
    <x v="4"/>
    <x v="10"/>
    <x v="1"/>
    <x v="6"/>
    <s v="Sedan"/>
    <x v="2"/>
    <n v="62241"/>
    <n v="403972"/>
    <n v="198"/>
    <n v="0.97"/>
    <n v="6.29"/>
    <n v="1.2"/>
    <n v="8"/>
    <x v="90"/>
    <x v="0"/>
    <n v="62987.892"/>
  </r>
  <r>
    <x v="9"/>
    <x v="9"/>
    <x v="3"/>
    <x v="3"/>
    <s v="Electric"/>
    <x v="3"/>
    <n v="50540"/>
    <n v="348276"/>
    <n v="355"/>
    <n v="0.97"/>
    <n v="6.29"/>
    <n v="1.2"/>
    <n v="5"/>
    <x v="91"/>
    <x v="0"/>
    <n v="51146.48"/>
  </r>
  <r>
    <x v="0"/>
    <x v="3"/>
    <x v="6"/>
    <x v="6"/>
    <s v="SUV"/>
    <x v="2"/>
    <n v="107255"/>
    <n v="427864"/>
    <n v="239"/>
    <n v="0.97"/>
    <n v="6.29"/>
    <n v="1.2"/>
    <n v="6"/>
    <x v="92"/>
    <x v="0"/>
    <n v="108542.06"/>
  </r>
  <r>
    <x v="9"/>
    <x v="1"/>
    <x v="2"/>
    <x v="1"/>
    <s v="SUV"/>
    <x v="3"/>
    <n v="99757"/>
    <n v="348254"/>
    <n v="264"/>
    <n v="0.97"/>
    <n v="6.29"/>
    <n v="1.2"/>
    <n v="1"/>
    <x v="93"/>
    <x v="1"/>
    <n v="89781.3"/>
  </r>
  <r>
    <x v="2"/>
    <x v="9"/>
    <x v="9"/>
    <x v="8"/>
    <s v="SUV"/>
    <x v="1"/>
    <n v="76203"/>
    <n v="239826"/>
    <n v="245"/>
    <n v="0.97"/>
    <n v="6.29"/>
    <n v="1.2"/>
    <n v="6"/>
    <x v="94"/>
    <x v="0"/>
    <n v="77117.436000000002"/>
  </r>
  <r>
    <x v="7"/>
    <x v="0"/>
    <x v="6"/>
    <x v="7"/>
    <s v="Sedan"/>
    <x v="3"/>
    <n v="60081"/>
    <n v="375724"/>
    <n v="35"/>
    <n v="0.97"/>
    <n v="6.29"/>
    <n v="1.2"/>
    <n v="8"/>
    <x v="95"/>
    <x v="0"/>
    <n v="60801.972000000002"/>
  </r>
  <r>
    <x v="8"/>
    <x v="1"/>
    <x v="9"/>
    <x v="5"/>
    <s v="Sedan"/>
    <x v="3"/>
    <n v="96861"/>
    <n v="465685"/>
    <n v="81"/>
    <n v="0.97"/>
    <n v="6.29"/>
    <n v="1.2"/>
    <n v="3"/>
    <x v="96"/>
    <x v="0"/>
    <n v="98023.331999999995"/>
  </r>
  <r>
    <x v="0"/>
    <x v="9"/>
    <x v="9"/>
    <x v="5"/>
    <s v="Sedan"/>
    <x v="3"/>
    <n v="46350"/>
    <n v="376160"/>
    <n v="270"/>
    <n v="0.97"/>
    <n v="6.29"/>
    <n v="1.2"/>
    <n v="1"/>
    <x v="97"/>
    <x v="1"/>
    <n v="41715"/>
  </r>
  <r>
    <x v="0"/>
    <x v="11"/>
    <x v="0"/>
    <x v="3"/>
    <s v="Sedan"/>
    <x v="0"/>
    <n v="90512"/>
    <n v="96233"/>
    <n v="263"/>
    <n v="0.97"/>
    <n v="6.29"/>
    <n v="1.2"/>
    <n v="4"/>
    <x v="35"/>
    <x v="0"/>
    <n v="91598.144"/>
  </r>
  <r>
    <x v="2"/>
    <x v="0"/>
    <x v="1"/>
    <x v="5"/>
    <s v="Sedan"/>
    <x v="3"/>
    <n v="91809"/>
    <n v="442007"/>
    <n v="280"/>
    <n v="0.97"/>
    <n v="6.29"/>
    <n v="1.2"/>
    <n v="1"/>
    <x v="98"/>
    <x v="1"/>
    <n v="82628.100000000006"/>
  </r>
  <r>
    <x v="3"/>
    <x v="9"/>
    <x v="6"/>
    <x v="7"/>
    <s v="Electric"/>
    <x v="1"/>
    <n v="77832"/>
    <n v="247780"/>
    <n v="132"/>
    <n v="0.97"/>
    <n v="6.29"/>
    <n v="1.2"/>
    <n v="8"/>
    <x v="99"/>
    <x v="0"/>
    <n v="78765.983999999997"/>
  </r>
  <r>
    <x v="5"/>
    <x v="11"/>
    <x v="6"/>
    <x v="6"/>
    <s v="Sedan"/>
    <x v="1"/>
    <n v="63369"/>
    <n v="274522"/>
    <n v="153"/>
    <n v="0.97"/>
    <n v="6.29"/>
    <n v="1.2"/>
    <n v="5"/>
    <x v="73"/>
    <x v="0"/>
    <n v="64129.428"/>
  </r>
  <r>
    <x v="2"/>
    <x v="11"/>
    <x v="0"/>
    <x v="1"/>
    <s v="Sedan"/>
    <x v="1"/>
    <n v="66728"/>
    <n v="156311"/>
    <n v="266"/>
    <n v="0.97"/>
    <n v="6.29"/>
    <n v="1.2"/>
    <n v="1"/>
    <x v="100"/>
    <x v="2"/>
    <n v="66728"/>
  </r>
  <r>
    <x v="6"/>
    <x v="8"/>
    <x v="3"/>
    <x v="7"/>
    <s v="Electric"/>
    <x v="3"/>
    <n v="52576"/>
    <n v="84409"/>
    <n v="153"/>
    <n v="0.97"/>
    <n v="6.29"/>
    <n v="1.2"/>
    <n v="8"/>
    <x v="101"/>
    <x v="0"/>
    <n v="53206.912000000004"/>
  </r>
  <r>
    <x v="5"/>
    <x v="2"/>
    <x v="3"/>
    <x v="1"/>
    <s v="Sedan"/>
    <x v="2"/>
    <n v="64001"/>
    <n v="296231"/>
    <n v="268"/>
    <n v="0.97"/>
    <n v="6.29"/>
    <n v="1.2"/>
    <n v="9"/>
    <x v="102"/>
    <x v="0"/>
    <n v="64769.012000000002"/>
  </r>
  <r>
    <x v="8"/>
    <x v="0"/>
    <x v="3"/>
    <x v="1"/>
    <s v="SUV"/>
    <x v="2"/>
    <n v="118384"/>
    <n v="462540"/>
    <n v="56"/>
    <n v="0.97"/>
    <n v="6.29"/>
    <n v="1.2"/>
    <n v="10"/>
    <x v="36"/>
    <x v="0"/>
    <n v="119804.60800000001"/>
  </r>
  <r>
    <x v="5"/>
    <x v="11"/>
    <x v="8"/>
    <x v="8"/>
    <s v="Sedan"/>
    <x v="1"/>
    <n v="35390"/>
    <n v="451954"/>
    <n v="360"/>
    <n v="0.97"/>
    <n v="6.29"/>
    <n v="1.2"/>
    <n v="2"/>
    <x v="103"/>
    <x v="1"/>
    <n v="31851"/>
  </r>
  <r>
    <x v="3"/>
    <x v="8"/>
    <x v="9"/>
    <x v="6"/>
    <s v="Sedan"/>
    <x v="0"/>
    <n v="80436"/>
    <n v="336198"/>
    <n v="22"/>
    <n v="0.97"/>
    <n v="6.29"/>
    <n v="1.2"/>
    <n v="9"/>
    <x v="104"/>
    <x v="0"/>
    <n v="81401.232000000004"/>
  </r>
  <r>
    <x v="5"/>
    <x v="9"/>
    <x v="8"/>
    <x v="9"/>
    <s v="SUV"/>
    <x v="2"/>
    <n v="46569"/>
    <n v="79709"/>
    <n v="385"/>
    <n v="0.97"/>
    <n v="6.29"/>
    <n v="1.2"/>
    <n v="8"/>
    <x v="105"/>
    <x v="0"/>
    <n v="47127.828000000001"/>
  </r>
  <r>
    <x v="8"/>
    <x v="4"/>
    <x v="1"/>
    <x v="5"/>
    <s v="SUV"/>
    <x v="3"/>
    <n v="48029"/>
    <n v="159321"/>
    <n v="217"/>
    <n v="0.97"/>
    <n v="6.29"/>
    <n v="1.2"/>
    <n v="7"/>
    <x v="106"/>
    <x v="0"/>
    <n v="48605.347999999998"/>
  </r>
  <r>
    <x v="3"/>
    <x v="0"/>
    <x v="0"/>
    <x v="9"/>
    <s v="SUV"/>
    <x v="2"/>
    <n v="57490"/>
    <n v="50363"/>
    <n v="320"/>
    <n v="0.97"/>
    <n v="6.29"/>
    <n v="1.2"/>
    <n v="3"/>
    <x v="107"/>
    <x v="0"/>
    <n v="58179.88"/>
  </r>
  <r>
    <x v="4"/>
    <x v="1"/>
    <x v="6"/>
    <x v="8"/>
    <s v="SUV"/>
    <x v="1"/>
    <n v="80875"/>
    <n v="322502"/>
    <n v="244"/>
    <n v="0.97"/>
    <n v="6.29"/>
    <n v="1.2"/>
    <n v="2"/>
    <x v="108"/>
    <x v="1"/>
    <n v="72787.5"/>
  </r>
  <r>
    <x v="0"/>
    <x v="10"/>
    <x v="9"/>
    <x v="1"/>
    <s v="Sedan"/>
    <x v="0"/>
    <n v="40867"/>
    <n v="446456"/>
    <n v="158"/>
    <n v="0.97"/>
    <n v="6.29"/>
    <n v="1.2"/>
    <n v="7"/>
    <x v="109"/>
    <x v="0"/>
    <n v="41357.404000000002"/>
  </r>
  <r>
    <x v="0"/>
    <x v="10"/>
    <x v="8"/>
    <x v="3"/>
    <s v="SUV"/>
    <x v="2"/>
    <n v="115820"/>
    <n v="95689"/>
    <n v="331"/>
    <n v="0.97"/>
    <n v="6.29"/>
    <n v="1.2"/>
    <n v="5"/>
    <x v="110"/>
    <x v="0"/>
    <n v="117209.84"/>
  </r>
  <r>
    <x v="9"/>
    <x v="9"/>
    <x v="8"/>
    <x v="5"/>
    <s v="SUV"/>
    <x v="2"/>
    <n v="44121"/>
    <n v="314080"/>
    <n v="164"/>
    <n v="0.97"/>
    <n v="6.29"/>
    <n v="1.2"/>
    <n v="6"/>
    <x v="111"/>
    <x v="0"/>
    <n v="44650.451999999997"/>
  </r>
  <r>
    <x v="4"/>
    <x v="6"/>
    <x v="5"/>
    <x v="5"/>
    <s v="Electric"/>
    <x v="1"/>
    <n v="36539"/>
    <n v="424416"/>
    <n v="175"/>
    <n v="0.97"/>
    <n v="6.29"/>
    <n v="1.2"/>
    <n v="4"/>
    <x v="112"/>
    <x v="0"/>
    <n v="36977.468000000001"/>
  </r>
  <r>
    <x v="4"/>
    <x v="6"/>
    <x v="8"/>
    <x v="6"/>
    <s v="SUV"/>
    <x v="0"/>
    <n v="52027"/>
    <n v="141074"/>
    <n v="99"/>
    <n v="0.97"/>
    <n v="6.29"/>
    <n v="1.2"/>
    <n v="2"/>
    <x v="113"/>
    <x v="2"/>
    <n v="52027"/>
  </r>
  <r>
    <x v="5"/>
    <x v="9"/>
    <x v="2"/>
    <x v="0"/>
    <s v="SUV"/>
    <x v="0"/>
    <n v="109229"/>
    <n v="225037"/>
    <n v="195"/>
    <n v="0.97"/>
    <n v="6.29"/>
    <n v="1.2"/>
    <n v="9"/>
    <x v="114"/>
    <x v="0"/>
    <n v="110539.74800000001"/>
  </r>
  <r>
    <x v="0"/>
    <x v="11"/>
    <x v="6"/>
    <x v="2"/>
    <s v="Electric"/>
    <x v="1"/>
    <n v="43921"/>
    <n v="258606"/>
    <n v="327"/>
    <n v="0.97"/>
    <n v="6.29"/>
    <n v="1.2"/>
    <n v="3"/>
    <x v="115"/>
    <x v="0"/>
    <n v="44448.052000000003"/>
  </r>
  <r>
    <x v="8"/>
    <x v="2"/>
    <x v="2"/>
    <x v="2"/>
    <s v="Electric"/>
    <x v="3"/>
    <n v="85435"/>
    <n v="50882"/>
    <n v="367"/>
    <n v="0.97"/>
    <n v="6.29"/>
    <n v="1.2"/>
    <n v="7"/>
    <x v="116"/>
    <x v="0"/>
    <n v="86460.22"/>
  </r>
  <r>
    <x v="1"/>
    <x v="0"/>
    <x v="6"/>
    <x v="2"/>
    <s v="Sedan"/>
    <x v="2"/>
    <n v="45310"/>
    <n v="463440"/>
    <n v="183"/>
    <n v="0.97"/>
    <n v="6.29"/>
    <n v="1.2"/>
    <n v="8"/>
    <x v="117"/>
    <x v="0"/>
    <n v="45853.72"/>
  </r>
  <r>
    <x v="1"/>
    <x v="10"/>
    <x v="0"/>
    <x v="0"/>
    <s v="Electric"/>
    <x v="3"/>
    <n v="98965"/>
    <n v="417371"/>
    <n v="226"/>
    <n v="0.97"/>
    <n v="6.29"/>
    <n v="1.2"/>
    <n v="2"/>
    <x v="118"/>
    <x v="1"/>
    <n v="89068.5"/>
  </r>
  <r>
    <x v="3"/>
    <x v="10"/>
    <x v="6"/>
    <x v="6"/>
    <s v="Sedan"/>
    <x v="2"/>
    <n v="104922"/>
    <n v="304822"/>
    <n v="273"/>
    <n v="0.97"/>
    <n v="6.29"/>
    <n v="1.2"/>
    <n v="6"/>
    <x v="119"/>
    <x v="0"/>
    <n v="106181.064"/>
  </r>
  <r>
    <x v="0"/>
    <x v="2"/>
    <x v="2"/>
    <x v="0"/>
    <s v="Electric"/>
    <x v="2"/>
    <n v="117839"/>
    <n v="175865"/>
    <n v="106"/>
    <n v="0.97"/>
    <n v="6.29"/>
    <n v="1.2"/>
    <n v="8"/>
    <x v="120"/>
    <x v="0"/>
    <n v="119253.068"/>
  </r>
  <r>
    <x v="0"/>
    <x v="11"/>
    <x v="6"/>
    <x v="2"/>
    <s v="Electric"/>
    <x v="3"/>
    <n v="47242"/>
    <n v="173745"/>
    <n v="126"/>
    <n v="0.97"/>
    <n v="6.29"/>
    <n v="1.2"/>
    <n v="7"/>
    <x v="121"/>
    <x v="0"/>
    <n v="47808.904000000002"/>
  </r>
  <r>
    <x v="1"/>
    <x v="10"/>
    <x v="0"/>
    <x v="8"/>
    <s v="Sedan"/>
    <x v="1"/>
    <n v="43947"/>
    <n v="474041"/>
    <n v="208"/>
    <n v="0.97"/>
    <n v="6.29"/>
    <n v="1.2"/>
    <n v="3"/>
    <x v="122"/>
    <x v="0"/>
    <n v="44474.364000000001"/>
  </r>
  <r>
    <x v="0"/>
    <x v="1"/>
    <x v="0"/>
    <x v="7"/>
    <s v="Electric"/>
    <x v="1"/>
    <n v="106466"/>
    <n v="78885"/>
    <n v="329"/>
    <n v="0.97"/>
    <n v="6.29"/>
    <n v="1.2"/>
    <n v="1"/>
    <x v="123"/>
    <x v="2"/>
    <n v="106466"/>
  </r>
  <r>
    <x v="5"/>
    <x v="0"/>
    <x v="1"/>
    <x v="1"/>
    <s v="Sedan"/>
    <x v="2"/>
    <n v="96816"/>
    <n v="221128"/>
    <n v="30"/>
    <n v="0.97"/>
    <n v="6.29"/>
    <n v="1.2"/>
    <n v="6"/>
    <x v="124"/>
    <x v="0"/>
    <n v="97977.792000000001"/>
  </r>
  <r>
    <x v="6"/>
    <x v="7"/>
    <x v="6"/>
    <x v="0"/>
    <s v="Electric"/>
    <x v="1"/>
    <n v="83785"/>
    <n v="446419"/>
    <n v="209"/>
    <n v="0.97"/>
    <n v="6.29"/>
    <n v="1.2"/>
    <n v="8"/>
    <x v="125"/>
    <x v="0"/>
    <n v="84790.42"/>
  </r>
  <r>
    <x v="7"/>
    <x v="10"/>
    <x v="5"/>
    <x v="6"/>
    <s v="SUV"/>
    <x v="2"/>
    <n v="35507"/>
    <n v="241313"/>
    <n v="380"/>
    <n v="0.97"/>
    <n v="6.29"/>
    <n v="1.2"/>
    <n v="6"/>
    <x v="126"/>
    <x v="0"/>
    <n v="35933.084000000003"/>
  </r>
  <r>
    <x v="4"/>
    <x v="9"/>
    <x v="3"/>
    <x v="6"/>
    <s v="Electric"/>
    <x v="1"/>
    <n v="101972"/>
    <n v="445460"/>
    <n v="350"/>
    <n v="0.97"/>
    <n v="6.29"/>
    <n v="1.2"/>
    <n v="5"/>
    <x v="127"/>
    <x v="0"/>
    <n v="103195.664"/>
  </r>
  <r>
    <x v="9"/>
    <x v="1"/>
    <x v="7"/>
    <x v="9"/>
    <s v="Sedan"/>
    <x v="2"/>
    <n v="62151"/>
    <n v="410466"/>
    <n v="257"/>
    <n v="0.97"/>
    <n v="6.29"/>
    <n v="1.2"/>
    <n v="8"/>
    <x v="128"/>
    <x v="0"/>
    <n v="62896.811999999998"/>
  </r>
  <r>
    <x v="3"/>
    <x v="10"/>
    <x v="0"/>
    <x v="7"/>
    <s v="Electric"/>
    <x v="1"/>
    <n v="46618"/>
    <n v="380763"/>
    <n v="285"/>
    <n v="0.97"/>
    <n v="6.29"/>
    <n v="1.2"/>
    <n v="2"/>
    <x v="129"/>
    <x v="1"/>
    <n v="41956.200000000004"/>
  </r>
  <r>
    <x v="6"/>
    <x v="3"/>
    <x v="4"/>
    <x v="3"/>
    <s v="Sedan"/>
    <x v="0"/>
    <n v="109286"/>
    <n v="71584"/>
    <n v="273"/>
    <n v="0.97"/>
    <n v="6.29"/>
    <n v="1.2"/>
    <n v="1"/>
    <x v="130"/>
    <x v="2"/>
    <n v="109286"/>
  </r>
  <r>
    <x v="1"/>
    <x v="1"/>
    <x v="3"/>
    <x v="5"/>
    <s v="Sedan"/>
    <x v="3"/>
    <n v="51122"/>
    <n v="320665"/>
    <n v="67"/>
    <n v="0.97"/>
    <n v="6.29"/>
    <n v="1.2"/>
    <n v="1"/>
    <x v="131"/>
    <x v="1"/>
    <n v="46009.8"/>
  </r>
  <r>
    <x v="4"/>
    <x v="8"/>
    <x v="9"/>
    <x v="2"/>
    <s v="SUV"/>
    <x v="0"/>
    <n v="42354"/>
    <n v="231089"/>
    <n v="311"/>
    <n v="0.97"/>
    <n v="6.29"/>
    <n v="1.2"/>
    <n v="4"/>
    <x v="132"/>
    <x v="0"/>
    <n v="42862.248"/>
  </r>
  <r>
    <x v="0"/>
    <x v="7"/>
    <x v="6"/>
    <x v="3"/>
    <s v="SUV"/>
    <x v="3"/>
    <n v="65979"/>
    <n v="345685"/>
    <n v="40"/>
    <n v="0.97"/>
    <n v="6.29"/>
    <n v="1.2"/>
    <n v="6"/>
    <x v="133"/>
    <x v="0"/>
    <n v="66770.748000000007"/>
  </r>
  <r>
    <x v="9"/>
    <x v="5"/>
    <x v="2"/>
    <x v="9"/>
    <s v="Sedan"/>
    <x v="3"/>
    <n v="114376"/>
    <n v="79063"/>
    <n v="258"/>
    <n v="0.97"/>
    <n v="6.29"/>
    <n v="1.2"/>
    <n v="9"/>
    <x v="134"/>
    <x v="0"/>
    <n v="115748.512"/>
  </r>
  <r>
    <x v="0"/>
    <x v="9"/>
    <x v="7"/>
    <x v="2"/>
    <s v="Electric"/>
    <x v="2"/>
    <n v="87774"/>
    <n v="120268"/>
    <n v="102"/>
    <n v="0.97"/>
    <n v="6.29"/>
    <n v="1.2"/>
    <n v="1"/>
    <x v="135"/>
    <x v="2"/>
    <n v="87774"/>
  </r>
  <r>
    <x v="8"/>
    <x v="9"/>
    <x v="4"/>
    <x v="7"/>
    <s v="Sedan"/>
    <x v="3"/>
    <n v="40037"/>
    <n v="306306"/>
    <n v="274"/>
    <n v="0.97"/>
    <n v="6.29"/>
    <n v="1.2"/>
    <n v="1"/>
    <x v="136"/>
    <x v="1"/>
    <n v="36033.300000000003"/>
  </r>
  <r>
    <x v="8"/>
    <x v="0"/>
    <x v="3"/>
    <x v="9"/>
    <s v="Sedan"/>
    <x v="0"/>
    <n v="63633"/>
    <n v="176218"/>
    <n v="280"/>
    <n v="0.97"/>
    <n v="6.29"/>
    <n v="1.2"/>
    <n v="5"/>
    <x v="119"/>
    <x v="0"/>
    <n v="64396.595999999998"/>
  </r>
  <r>
    <x v="9"/>
    <x v="2"/>
    <x v="6"/>
    <x v="2"/>
    <s v="Electric"/>
    <x v="0"/>
    <n v="59495"/>
    <n v="430350"/>
    <n v="103"/>
    <n v="0.97"/>
    <n v="6.29"/>
    <n v="1.2"/>
    <n v="10"/>
    <x v="137"/>
    <x v="0"/>
    <n v="60208.94"/>
  </r>
  <r>
    <x v="9"/>
    <x v="1"/>
    <x v="1"/>
    <x v="7"/>
    <s v="Electric"/>
    <x v="1"/>
    <n v="99550"/>
    <n v="274126"/>
    <n v="163"/>
    <n v="0.97"/>
    <n v="6.29"/>
    <n v="1.2"/>
    <n v="5"/>
    <x v="138"/>
    <x v="0"/>
    <n v="100744.6"/>
  </r>
  <r>
    <x v="1"/>
    <x v="11"/>
    <x v="9"/>
    <x v="4"/>
    <s v="Electric"/>
    <x v="0"/>
    <n v="116384"/>
    <n v="220635"/>
    <n v="294"/>
    <n v="0.97"/>
    <n v="6.29"/>
    <n v="1.2"/>
    <n v="5"/>
    <x v="139"/>
    <x v="0"/>
    <n v="117780.60800000001"/>
  </r>
  <r>
    <x v="9"/>
    <x v="9"/>
    <x v="7"/>
    <x v="3"/>
    <s v="Electric"/>
    <x v="1"/>
    <n v="71483"/>
    <n v="220824"/>
    <n v="89"/>
    <n v="0.97"/>
    <n v="6.29"/>
    <n v="1.2"/>
    <n v="10"/>
    <x v="40"/>
    <x v="0"/>
    <n v="72340.796000000002"/>
  </r>
  <r>
    <x v="5"/>
    <x v="1"/>
    <x v="5"/>
    <x v="3"/>
    <s v="Sedan"/>
    <x v="3"/>
    <n v="108373"/>
    <n v="276305"/>
    <n v="301"/>
    <n v="0.97"/>
    <n v="6.29"/>
    <n v="1.2"/>
    <n v="6"/>
    <x v="140"/>
    <x v="0"/>
    <n v="109673.476"/>
  </r>
  <r>
    <x v="0"/>
    <x v="1"/>
    <x v="1"/>
    <x v="5"/>
    <s v="Sedan"/>
    <x v="0"/>
    <n v="69069"/>
    <n v="445783"/>
    <n v="93"/>
    <n v="0.97"/>
    <n v="6.29"/>
    <n v="1.2"/>
    <n v="8"/>
    <x v="49"/>
    <x v="0"/>
    <n v="69897.827999999994"/>
  </r>
  <r>
    <x v="6"/>
    <x v="3"/>
    <x v="4"/>
    <x v="7"/>
    <s v="SUV"/>
    <x v="3"/>
    <n v="42370"/>
    <n v="459337"/>
    <n v="374"/>
    <n v="0.97"/>
    <n v="6.29"/>
    <n v="1.2"/>
    <n v="3"/>
    <x v="141"/>
    <x v="0"/>
    <n v="42878.44"/>
  </r>
  <r>
    <x v="2"/>
    <x v="4"/>
    <x v="7"/>
    <x v="0"/>
    <s v="Sedan"/>
    <x v="0"/>
    <n v="106947"/>
    <n v="444890"/>
    <n v="383"/>
    <n v="0.97"/>
    <n v="6.29"/>
    <n v="1.2"/>
    <n v="9"/>
    <x v="142"/>
    <x v="0"/>
    <n v="108230.364"/>
  </r>
  <r>
    <x v="9"/>
    <x v="4"/>
    <x v="1"/>
    <x v="4"/>
    <s v="Electric"/>
    <x v="0"/>
    <n v="74133"/>
    <n v="126411"/>
    <n v="46"/>
    <n v="0.97"/>
    <n v="6.29"/>
    <n v="1.2"/>
    <n v="1"/>
    <x v="143"/>
    <x v="2"/>
    <n v="74133"/>
  </r>
  <r>
    <x v="3"/>
    <x v="5"/>
    <x v="9"/>
    <x v="8"/>
    <s v="SUV"/>
    <x v="1"/>
    <n v="35692"/>
    <n v="159876"/>
    <n v="351"/>
    <n v="0.97"/>
    <n v="6.29"/>
    <n v="1.2"/>
    <n v="4"/>
    <x v="144"/>
    <x v="0"/>
    <n v="36120.304000000004"/>
  </r>
  <r>
    <x v="8"/>
    <x v="8"/>
    <x v="5"/>
    <x v="2"/>
    <s v="Electric"/>
    <x v="3"/>
    <n v="63926"/>
    <n v="248153"/>
    <n v="336"/>
    <n v="0.97"/>
    <n v="6.29"/>
    <n v="1.2"/>
    <n v="9"/>
    <x v="145"/>
    <x v="0"/>
    <n v="64693.112000000001"/>
  </r>
  <r>
    <x v="5"/>
    <x v="5"/>
    <x v="1"/>
    <x v="4"/>
    <s v="Sedan"/>
    <x v="0"/>
    <n v="108984"/>
    <n v="210212"/>
    <n v="241"/>
    <n v="0.97"/>
    <n v="6.29"/>
    <n v="1.2"/>
    <n v="8"/>
    <x v="146"/>
    <x v="0"/>
    <n v="110291.808"/>
  </r>
  <r>
    <x v="4"/>
    <x v="10"/>
    <x v="8"/>
    <x v="7"/>
    <s v="SUV"/>
    <x v="2"/>
    <n v="78390"/>
    <n v="190399"/>
    <n v="102"/>
    <n v="0.97"/>
    <n v="6.29"/>
    <n v="1.2"/>
    <n v="10"/>
    <x v="147"/>
    <x v="0"/>
    <n v="79330.680000000008"/>
  </r>
  <r>
    <x v="2"/>
    <x v="11"/>
    <x v="5"/>
    <x v="1"/>
    <s v="Electric"/>
    <x v="3"/>
    <n v="84593"/>
    <n v="73331"/>
    <n v="345"/>
    <n v="0.97"/>
    <n v="6.29"/>
    <n v="1.2"/>
    <n v="9"/>
    <x v="148"/>
    <x v="0"/>
    <n v="85608.115999999995"/>
  </r>
  <r>
    <x v="6"/>
    <x v="10"/>
    <x v="4"/>
    <x v="2"/>
    <s v="SUV"/>
    <x v="3"/>
    <n v="110609"/>
    <n v="73004"/>
    <n v="111"/>
    <n v="0.97"/>
    <n v="6.29"/>
    <n v="1.2"/>
    <n v="1"/>
    <x v="149"/>
    <x v="2"/>
    <n v="110609"/>
  </r>
  <r>
    <x v="2"/>
    <x v="6"/>
    <x v="9"/>
    <x v="6"/>
    <s v="SUV"/>
    <x v="3"/>
    <n v="40209"/>
    <n v="288441"/>
    <n v="175"/>
    <n v="0.97"/>
    <n v="6.29"/>
    <n v="1.2"/>
    <n v="9"/>
    <x v="150"/>
    <x v="0"/>
    <n v="40691.508000000002"/>
  </r>
  <r>
    <x v="9"/>
    <x v="10"/>
    <x v="6"/>
    <x v="3"/>
    <s v="Sedan"/>
    <x v="1"/>
    <n v="41533"/>
    <n v="431387"/>
    <n v="168"/>
    <n v="0.97"/>
    <n v="6.29"/>
    <n v="1.2"/>
    <n v="3"/>
    <x v="151"/>
    <x v="0"/>
    <n v="42031.396000000001"/>
  </r>
  <r>
    <x v="1"/>
    <x v="0"/>
    <x v="2"/>
    <x v="7"/>
    <s v="Electric"/>
    <x v="2"/>
    <n v="42211"/>
    <n v="453708"/>
    <n v="23"/>
    <n v="0.97"/>
    <n v="6.29"/>
    <n v="1.2"/>
    <n v="10"/>
    <x v="152"/>
    <x v="0"/>
    <n v="42717.531999999999"/>
  </r>
  <r>
    <x v="8"/>
    <x v="10"/>
    <x v="2"/>
    <x v="6"/>
    <s v="SUV"/>
    <x v="3"/>
    <n v="44927"/>
    <n v="498013"/>
    <n v="382"/>
    <n v="0.97"/>
    <n v="6.29"/>
    <n v="1.2"/>
    <n v="9"/>
    <x v="153"/>
    <x v="0"/>
    <n v="45466.124000000003"/>
  </r>
  <r>
    <x v="8"/>
    <x v="5"/>
    <x v="2"/>
    <x v="5"/>
    <s v="SUV"/>
    <x v="0"/>
    <n v="112463"/>
    <n v="239167"/>
    <n v="234"/>
    <n v="0.97"/>
    <n v="6.29"/>
    <n v="1.2"/>
    <n v="1"/>
    <x v="154"/>
    <x v="2"/>
    <n v="112463"/>
  </r>
  <r>
    <x v="4"/>
    <x v="9"/>
    <x v="7"/>
    <x v="9"/>
    <s v="Electric"/>
    <x v="0"/>
    <n v="59594"/>
    <n v="456965"/>
    <n v="82"/>
    <n v="0.97"/>
    <n v="6.29"/>
    <n v="1.2"/>
    <n v="1"/>
    <x v="155"/>
    <x v="1"/>
    <n v="53634.6"/>
  </r>
  <r>
    <x v="1"/>
    <x v="9"/>
    <x v="4"/>
    <x v="8"/>
    <s v="SUV"/>
    <x v="1"/>
    <n v="109852"/>
    <n v="375361"/>
    <n v="258"/>
    <n v="0.97"/>
    <n v="6.29"/>
    <n v="1.2"/>
    <n v="9"/>
    <x v="156"/>
    <x v="0"/>
    <n v="111170.224"/>
  </r>
  <r>
    <x v="0"/>
    <x v="4"/>
    <x v="9"/>
    <x v="8"/>
    <s v="SUV"/>
    <x v="0"/>
    <n v="112713"/>
    <n v="139044"/>
    <n v="100"/>
    <n v="0.97"/>
    <n v="6.29"/>
    <n v="1.2"/>
    <n v="6"/>
    <x v="157"/>
    <x v="0"/>
    <n v="114065.556"/>
  </r>
  <r>
    <x v="7"/>
    <x v="2"/>
    <x v="5"/>
    <x v="6"/>
    <s v="SUV"/>
    <x v="3"/>
    <n v="111382"/>
    <n v="321189"/>
    <n v="225"/>
    <n v="0.97"/>
    <n v="6.29"/>
    <n v="1.2"/>
    <n v="4"/>
    <x v="158"/>
    <x v="0"/>
    <n v="112718.584"/>
  </r>
  <r>
    <x v="5"/>
    <x v="11"/>
    <x v="7"/>
    <x v="3"/>
    <s v="Electric"/>
    <x v="0"/>
    <n v="42933"/>
    <n v="332260"/>
    <n v="99"/>
    <n v="0.97"/>
    <n v="6.29"/>
    <n v="1.2"/>
    <n v="7"/>
    <x v="159"/>
    <x v="0"/>
    <n v="43448.196000000004"/>
  </r>
  <r>
    <x v="8"/>
    <x v="11"/>
    <x v="4"/>
    <x v="5"/>
    <s v="Electric"/>
    <x v="3"/>
    <n v="75696"/>
    <n v="68667"/>
    <n v="38"/>
    <n v="0.97"/>
    <n v="6.29"/>
    <n v="1.2"/>
    <n v="5"/>
    <x v="160"/>
    <x v="0"/>
    <n v="76604.351999999999"/>
  </r>
  <r>
    <x v="3"/>
    <x v="0"/>
    <x v="6"/>
    <x v="1"/>
    <s v="Electric"/>
    <x v="0"/>
    <n v="100449"/>
    <n v="387201"/>
    <n v="314"/>
    <n v="0.97"/>
    <n v="6.29"/>
    <n v="1.2"/>
    <n v="10"/>
    <x v="161"/>
    <x v="0"/>
    <n v="101654.38800000001"/>
  </r>
  <r>
    <x v="8"/>
    <x v="5"/>
    <x v="8"/>
    <x v="3"/>
    <s v="Electric"/>
    <x v="2"/>
    <n v="102616"/>
    <n v="124205"/>
    <n v="229"/>
    <n v="0.97"/>
    <n v="6.29"/>
    <n v="1.2"/>
    <n v="7"/>
    <x v="5"/>
    <x v="0"/>
    <n v="103847.39200000001"/>
  </r>
  <r>
    <x v="2"/>
    <x v="4"/>
    <x v="9"/>
    <x v="4"/>
    <s v="Sedan"/>
    <x v="1"/>
    <n v="41089"/>
    <n v="77302"/>
    <n v="337"/>
    <n v="0.97"/>
    <n v="6.29"/>
    <n v="1.2"/>
    <n v="8"/>
    <x v="94"/>
    <x v="0"/>
    <n v="41582.067999999999"/>
  </r>
  <r>
    <x v="8"/>
    <x v="3"/>
    <x v="2"/>
    <x v="8"/>
    <s v="SUV"/>
    <x v="1"/>
    <n v="91548"/>
    <n v="454499"/>
    <n v="224"/>
    <n v="0.97"/>
    <n v="6.29"/>
    <n v="1.2"/>
    <n v="8"/>
    <x v="162"/>
    <x v="0"/>
    <n v="92646.576000000001"/>
  </r>
  <r>
    <x v="8"/>
    <x v="6"/>
    <x v="1"/>
    <x v="4"/>
    <s v="Electric"/>
    <x v="2"/>
    <n v="61123"/>
    <n v="212007"/>
    <n v="230"/>
    <n v="0.97"/>
    <n v="6.29"/>
    <n v="1.2"/>
    <n v="1"/>
    <x v="163"/>
    <x v="2"/>
    <n v="61123"/>
  </r>
  <r>
    <x v="7"/>
    <x v="11"/>
    <x v="9"/>
    <x v="2"/>
    <s v="SUV"/>
    <x v="2"/>
    <n v="42797"/>
    <n v="122534"/>
    <n v="398"/>
    <n v="0.97"/>
    <n v="6.29"/>
    <n v="1.2"/>
    <n v="8"/>
    <x v="164"/>
    <x v="0"/>
    <n v="43310.563999999998"/>
  </r>
  <r>
    <x v="7"/>
    <x v="9"/>
    <x v="0"/>
    <x v="0"/>
    <s v="SUV"/>
    <x v="1"/>
    <n v="85013"/>
    <n v="275414"/>
    <n v="51"/>
    <n v="0.97"/>
    <n v="6.29"/>
    <n v="1.2"/>
    <n v="6"/>
    <x v="165"/>
    <x v="0"/>
    <n v="86033.156000000003"/>
  </r>
  <r>
    <x v="6"/>
    <x v="10"/>
    <x v="4"/>
    <x v="7"/>
    <s v="Sedan"/>
    <x v="2"/>
    <n v="43346"/>
    <n v="212696"/>
    <n v="144"/>
    <n v="0.97"/>
    <n v="6.29"/>
    <n v="1.2"/>
    <n v="4"/>
    <x v="166"/>
    <x v="0"/>
    <n v="43866.152000000002"/>
  </r>
  <r>
    <x v="0"/>
    <x v="10"/>
    <x v="3"/>
    <x v="5"/>
    <s v="Electric"/>
    <x v="3"/>
    <n v="68672"/>
    <n v="63440"/>
    <n v="51"/>
    <n v="0.97"/>
    <n v="6.29"/>
    <n v="1.2"/>
    <n v="8"/>
    <x v="167"/>
    <x v="0"/>
    <n v="69496.063999999998"/>
  </r>
  <r>
    <x v="3"/>
    <x v="2"/>
    <x v="6"/>
    <x v="3"/>
    <s v="Electric"/>
    <x v="0"/>
    <n v="52653"/>
    <n v="423145"/>
    <n v="173"/>
    <n v="0.97"/>
    <n v="6.29"/>
    <n v="1.2"/>
    <n v="3"/>
    <x v="168"/>
    <x v="0"/>
    <n v="53284.836000000003"/>
  </r>
  <r>
    <x v="8"/>
    <x v="4"/>
    <x v="8"/>
    <x v="8"/>
    <s v="SUV"/>
    <x v="1"/>
    <n v="84556"/>
    <n v="358645"/>
    <n v="370"/>
    <n v="0.97"/>
    <n v="6.29"/>
    <n v="1.2"/>
    <n v="4"/>
    <x v="169"/>
    <x v="0"/>
    <n v="85570.672000000006"/>
  </r>
  <r>
    <x v="8"/>
    <x v="5"/>
    <x v="6"/>
    <x v="4"/>
    <s v="Electric"/>
    <x v="2"/>
    <n v="61140"/>
    <n v="444485"/>
    <n v="292"/>
    <n v="0.97"/>
    <n v="6.29"/>
    <n v="1.2"/>
    <n v="6"/>
    <x v="170"/>
    <x v="0"/>
    <n v="61873.68"/>
  </r>
  <r>
    <x v="5"/>
    <x v="5"/>
    <x v="9"/>
    <x v="9"/>
    <s v="SUV"/>
    <x v="3"/>
    <n v="36184"/>
    <n v="320012"/>
    <n v="67"/>
    <n v="0.97"/>
    <n v="6.29"/>
    <n v="1.2"/>
    <n v="7"/>
    <x v="171"/>
    <x v="0"/>
    <n v="36618.207999999999"/>
  </r>
  <r>
    <x v="7"/>
    <x v="8"/>
    <x v="3"/>
    <x v="2"/>
    <s v="SUV"/>
    <x v="1"/>
    <n v="69493"/>
    <n v="211323"/>
    <n v="311"/>
    <n v="0.97"/>
    <n v="6.29"/>
    <n v="1.2"/>
    <n v="4"/>
    <x v="172"/>
    <x v="0"/>
    <n v="70326.915999999997"/>
  </r>
  <r>
    <x v="3"/>
    <x v="7"/>
    <x v="0"/>
    <x v="7"/>
    <s v="Sedan"/>
    <x v="2"/>
    <n v="79148"/>
    <n v="390053"/>
    <n v="331"/>
    <n v="0.97"/>
    <n v="6.29"/>
    <n v="1.2"/>
    <n v="4"/>
    <x v="173"/>
    <x v="0"/>
    <n v="80097.775999999998"/>
  </r>
  <r>
    <x v="4"/>
    <x v="11"/>
    <x v="5"/>
    <x v="7"/>
    <s v="Sedan"/>
    <x v="1"/>
    <n v="59846"/>
    <n v="134523"/>
    <n v="34"/>
    <n v="0.97"/>
    <n v="6.29"/>
    <n v="1.2"/>
    <n v="7"/>
    <x v="174"/>
    <x v="0"/>
    <n v="60564.152000000002"/>
  </r>
  <r>
    <x v="6"/>
    <x v="5"/>
    <x v="1"/>
    <x v="3"/>
    <s v="Sedan"/>
    <x v="2"/>
    <n v="57195"/>
    <n v="219801"/>
    <n v="82"/>
    <n v="0.97"/>
    <n v="6.29"/>
    <n v="1.2"/>
    <n v="6"/>
    <x v="175"/>
    <x v="0"/>
    <n v="57881.340000000004"/>
  </r>
  <r>
    <x v="0"/>
    <x v="2"/>
    <x v="3"/>
    <x v="5"/>
    <s v="SUV"/>
    <x v="1"/>
    <n v="40606"/>
    <n v="65734"/>
    <n v="382"/>
    <n v="0.97"/>
    <n v="6.29"/>
    <n v="1.2"/>
    <n v="8"/>
    <x v="176"/>
    <x v="0"/>
    <n v="41093.271999999997"/>
  </r>
  <r>
    <x v="1"/>
    <x v="9"/>
    <x v="4"/>
    <x v="1"/>
    <s v="Electric"/>
    <x v="3"/>
    <n v="38956"/>
    <n v="223501"/>
    <n v="138"/>
    <n v="0.97"/>
    <n v="6.29"/>
    <n v="1.2"/>
    <n v="1"/>
    <x v="177"/>
    <x v="2"/>
    <n v="38956"/>
  </r>
  <r>
    <x v="0"/>
    <x v="4"/>
    <x v="2"/>
    <x v="9"/>
    <s v="Sedan"/>
    <x v="3"/>
    <n v="51555"/>
    <n v="222409"/>
    <n v="96"/>
    <n v="0.97"/>
    <n v="6.29"/>
    <n v="1.2"/>
    <n v="10"/>
    <x v="178"/>
    <x v="0"/>
    <n v="52173.66"/>
  </r>
  <r>
    <x v="2"/>
    <x v="6"/>
    <x v="0"/>
    <x v="3"/>
    <s v="Electric"/>
    <x v="0"/>
    <n v="53690"/>
    <n v="483541"/>
    <n v="339"/>
    <n v="0.97"/>
    <n v="6.29"/>
    <n v="1.2"/>
    <n v="7"/>
    <x v="179"/>
    <x v="0"/>
    <n v="54334.28"/>
  </r>
  <r>
    <x v="8"/>
    <x v="8"/>
    <x v="1"/>
    <x v="4"/>
    <s v="Sedan"/>
    <x v="1"/>
    <n v="93502"/>
    <n v="395744"/>
    <n v="162"/>
    <n v="0.97"/>
    <n v="6.29"/>
    <n v="1.2"/>
    <n v="7"/>
    <x v="138"/>
    <x v="0"/>
    <n v="94624.024000000005"/>
  </r>
  <r>
    <x v="6"/>
    <x v="2"/>
    <x v="8"/>
    <x v="0"/>
    <s v="Sedan"/>
    <x v="0"/>
    <n v="83849"/>
    <n v="320577"/>
    <n v="191"/>
    <n v="0.97"/>
    <n v="6.29"/>
    <n v="1.2"/>
    <n v="7"/>
    <x v="45"/>
    <x v="0"/>
    <n v="84855.187999999995"/>
  </r>
  <r>
    <x v="2"/>
    <x v="1"/>
    <x v="2"/>
    <x v="6"/>
    <s v="SUV"/>
    <x v="1"/>
    <n v="61347"/>
    <n v="190183"/>
    <n v="134"/>
    <n v="0.97"/>
    <n v="6.29"/>
    <n v="1.2"/>
    <n v="7"/>
    <x v="26"/>
    <x v="0"/>
    <n v="62083.163999999997"/>
  </r>
  <r>
    <x v="3"/>
    <x v="0"/>
    <x v="9"/>
    <x v="1"/>
    <s v="Sedan"/>
    <x v="2"/>
    <n v="84056"/>
    <n v="153986"/>
    <n v="76"/>
    <n v="0.97"/>
    <n v="6.29"/>
    <n v="1.2"/>
    <n v="10"/>
    <x v="180"/>
    <x v="0"/>
    <n v="85064.672000000006"/>
  </r>
  <r>
    <x v="1"/>
    <x v="6"/>
    <x v="3"/>
    <x v="5"/>
    <s v="Sedan"/>
    <x v="2"/>
    <n v="98851"/>
    <n v="375897"/>
    <n v="15"/>
    <n v="0.97"/>
    <n v="6.29"/>
    <n v="1.2"/>
    <n v="10"/>
    <x v="181"/>
    <x v="0"/>
    <n v="100037.212"/>
  </r>
  <r>
    <x v="7"/>
    <x v="1"/>
    <x v="1"/>
    <x v="2"/>
    <s v="SUV"/>
    <x v="0"/>
    <n v="116502"/>
    <n v="163783"/>
    <n v="134"/>
    <n v="0.97"/>
    <n v="6.29"/>
    <n v="1.2"/>
    <n v="8"/>
    <x v="63"/>
    <x v="0"/>
    <n v="117900.024"/>
  </r>
  <r>
    <x v="6"/>
    <x v="3"/>
    <x v="7"/>
    <x v="1"/>
    <s v="Electric"/>
    <x v="1"/>
    <n v="116418"/>
    <n v="261655"/>
    <n v="323"/>
    <n v="0.97"/>
    <n v="6.29"/>
    <n v="1.2"/>
    <n v="9"/>
    <x v="182"/>
    <x v="0"/>
    <n v="117815.016"/>
  </r>
  <r>
    <x v="6"/>
    <x v="10"/>
    <x v="5"/>
    <x v="8"/>
    <s v="Sedan"/>
    <x v="0"/>
    <n v="105211"/>
    <n v="333895"/>
    <n v="335"/>
    <n v="0.97"/>
    <n v="6.29"/>
    <n v="1.2"/>
    <n v="9"/>
    <x v="29"/>
    <x v="0"/>
    <n v="106473.53200000001"/>
  </r>
  <r>
    <x v="8"/>
    <x v="0"/>
    <x v="5"/>
    <x v="5"/>
    <s v="SUV"/>
    <x v="3"/>
    <n v="76850"/>
    <n v="197525"/>
    <n v="62"/>
    <n v="0.97"/>
    <n v="6.29"/>
    <n v="1.2"/>
    <n v="2"/>
    <x v="183"/>
    <x v="2"/>
    <n v="76850"/>
  </r>
  <r>
    <x v="9"/>
    <x v="11"/>
    <x v="0"/>
    <x v="0"/>
    <s v="Sedan"/>
    <x v="0"/>
    <n v="113545"/>
    <n v="266916"/>
    <n v="75"/>
    <n v="0.97"/>
    <n v="6.29"/>
    <n v="1.2"/>
    <n v="7"/>
    <x v="184"/>
    <x v="0"/>
    <n v="114907.54000000001"/>
  </r>
  <r>
    <x v="6"/>
    <x v="9"/>
    <x v="8"/>
    <x v="8"/>
    <s v="SUV"/>
    <x v="0"/>
    <n v="62843"/>
    <n v="482184"/>
    <n v="323"/>
    <n v="0.97"/>
    <n v="6.29"/>
    <n v="1.2"/>
    <n v="7"/>
    <x v="185"/>
    <x v="0"/>
    <n v="63597.116000000002"/>
  </r>
  <r>
    <x v="5"/>
    <x v="0"/>
    <x v="0"/>
    <x v="1"/>
    <s v="Electric"/>
    <x v="2"/>
    <n v="97320"/>
    <n v="211149"/>
    <n v="91"/>
    <n v="0.97"/>
    <n v="6.29"/>
    <n v="1.2"/>
    <n v="4"/>
    <x v="45"/>
    <x v="0"/>
    <n v="98487.84"/>
  </r>
  <r>
    <x v="1"/>
    <x v="7"/>
    <x v="7"/>
    <x v="6"/>
    <s v="Electric"/>
    <x v="0"/>
    <n v="64793"/>
    <n v="289654"/>
    <n v="96"/>
    <n v="0.97"/>
    <n v="6.29"/>
    <n v="1.2"/>
    <n v="9"/>
    <x v="186"/>
    <x v="0"/>
    <n v="65570.516000000003"/>
  </r>
  <r>
    <x v="1"/>
    <x v="1"/>
    <x v="4"/>
    <x v="6"/>
    <s v="SUV"/>
    <x v="1"/>
    <n v="74516"/>
    <n v="477991"/>
    <n v="11"/>
    <n v="0.97"/>
    <n v="6.29"/>
    <n v="1.2"/>
    <n v="8"/>
    <x v="187"/>
    <x v="0"/>
    <n v="75410.191999999995"/>
  </r>
  <r>
    <x v="5"/>
    <x v="11"/>
    <x v="8"/>
    <x v="0"/>
    <s v="SUV"/>
    <x v="2"/>
    <n v="52857"/>
    <n v="239216"/>
    <n v="213"/>
    <n v="0.97"/>
    <n v="6.29"/>
    <n v="1.2"/>
    <n v="1"/>
    <x v="26"/>
    <x v="2"/>
    <n v="52857"/>
  </r>
  <r>
    <x v="4"/>
    <x v="7"/>
    <x v="6"/>
    <x v="7"/>
    <s v="SUV"/>
    <x v="0"/>
    <n v="54627"/>
    <n v="360714"/>
    <n v="159"/>
    <n v="0.97"/>
    <n v="6.29"/>
    <n v="1.2"/>
    <n v="2"/>
    <x v="188"/>
    <x v="1"/>
    <n v="49164.3"/>
  </r>
  <r>
    <x v="5"/>
    <x v="10"/>
    <x v="4"/>
    <x v="9"/>
    <s v="Electric"/>
    <x v="3"/>
    <n v="96822"/>
    <n v="227169"/>
    <n v="302"/>
    <n v="0.97"/>
    <n v="6.29"/>
    <n v="1.2"/>
    <n v="2"/>
    <x v="119"/>
    <x v="2"/>
    <n v="96822"/>
  </r>
  <r>
    <x v="5"/>
    <x v="7"/>
    <x v="8"/>
    <x v="2"/>
    <s v="Sedan"/>
    <x v="0"/>
    <n v="119101"/>
    <n v="336647"/>
    <n v="112"/>
    <n v="0.97"/>
    <n v="6.29"/>
    <n v="1.2"/>
    <n v="8"/>
    <x v="189"/>
    <x v="0"/>
    <n v="120530.212"/>
  </r>
  <r>
    <x v="1"/>
    <x v="8"/>
    <x v="8"/>
    <x v="7"/>
    <s v="Electric"/>
    <x v="0"/>
    <n v="87248"/>
    <n v="183851"/>
    <n v="33"/>
    <n v="0.97"/>
    <n v="6.29"/>
    <n v="1.2"/>
    <n v="1"/>
    <x v="190"/>
    <x v="2"/>
    <n v="87248"/>
  </r>
  <r>
    <x v="0"/>
    <x v="8"/>
    <x v="7"/>
    <x v="6"/>
    <s v="SUV"/>
    <x v="0"/>
    <n v="90798"/>
    <n v="398984"/>
    <n v="377"/>
    <n v="0.97"/>
    <n v="6.29"/>
    <n v="1.2"/>
    <n v="4"/>
    <x v="191"/>
    <x v="0"/>
    <n v="91887.576000000001"/>
  </r>
  <r>
    <x v="1"/>
    <x v="3"/>
    <x v="9"/>
    <x v="6"/>
    <s v="SUV"/>
    <x v="2"/>
    <n v="79116"/>
    <n v="181827"/>
    <n v="221"/>
    <n v="0.97"/>
    <n v="6.29"/>
    <n v="1.2"/>
    <n v="10"/>
    <x v="192"/>
    <x v="0"/>
    <n v="80065.392000000007"/>
  </r>
  <r>
    <x v="9"/>
    <x v="4"/>
    <x v="7"/>
    <x v="4"/>
    <s v="Electric"/>
    <x v="1"/>
    <n v="110318"/>
    <n v="351407"/>
    <n v="74"/>
    <n v="0.97"/>
    <n v="6.29"/>
    <n v="1.2"/>
    <n v="5"/>
    <x v="73"/>
    <x v="0"/>
    <n v="111641.81600000001"/>
  </r>
  <r>
    <x v="8"/>
    <x v="6"/>
    <x v="8"/>
    <x v="8"/>
    <s v="SUV"/>
    <x v="3"/>
    <n v="63557"/>
    <n v="420635"/>
    <n v="218"/>
    <n v="0.97"/>
    <n v="6.29"/>
    <n v="1.2"/>
    <n v="9"/>
    <x v="193"/>
    <x v="0"/>
    <n v="64319.684000000001"/>
  </r>
  <r>
    <x v="2"/>
    <x v="6"/>
    <x v="1"/>
    <x v="1"/>
    <s v="Electric"/>
    <x v="0"/>
    <n v="106334"/>
    <n v="367231"/>
    <n v="260"/>
    <n v="0.97"/>
    <n v="6.29"/>
    <n v="1.2"/>
    <n v="7"/>
    <x v="194"/>
    <x v="0"/>
    <n v="107610.008"/>
  </r>
  <r>
    <x v="0"/>
    <x v="11"/>
    <x v="4"/>
    <x v="2"/>
    <s v="SUV"/>
    <x v="1"/>
    <n v="110163"/>
    <n v="485497"/>
    <n v="394"/>
    <n v="0.97"/>
    <n v="6.29"/>
    <n v="1.2"/>
    <n v="8"/>
    <x v="195"/>
    <x v="0"/>
    <n v="111484.95600000001"/>
  </r>
  <r>
    <x v="7"/>
    <x v="10"/>
    <x v="7"/>
    <x v="0"/>
    <s v="Sedan"/>
    <x v="1"/>
    <n v="113002"/>
    <n v="101482"/>
    <n v="126"/>
    <n v="0.97"/>
    <n v="6.29"/>
    <n v="1.2"/>
    <n v="9"/>
    <x v="196"/>
    <x v="0"/>
    <n v="114358.024"/>
  </r>
  <r>
    <x v="2"/>
    <x v="5"/>
    <x v="9"/>
    <x v="1"/>
    <s v="Sedan"/>
    <x v="2"/>
    <n v="77614"/>
    <n v="498073"/>
    <n v="125"/>
    <n v="0.97"/>
    <n v="6.29"/>
    <n v="1.2"/>
    <n v="7"/>
    <x v="89"/>
    <x v="0"/>
    <n v="78545.368000000002"/>
  </r>
  <r>
    <x v="8"/>
    <x v="3"/>
    <x v="3"/>
    <x v="4"/>
    <s v="SUV"/>
    <x v="3"/>
    <n v="47720"/>
    <n v="172989"/>
    <n v="246"/>
    <n v="0.97"/>
    <n v="6.29"/>
    <n v="1.2"/>
    <n v="5"/>
    <x v="71"/>
    <x v="0"/>
    <n v="48292.639999999999"/>
  </r>
  <r>
    <x v="9"/>
    <x v="8"/>
    <x v="0"/>
    <x v="6"/>
    <s v="Electric"/>
    <x v="2"/>
    <n v="92608"/>
    <n v="460616"/>
    <n v="114"/>
    <n v="0.97"/>
    <n v="6.29"/>
    <n v="1.2"/>
    <n v="5"/>
    <x v="118"/>
    <x v="0"/>
    <n v="93719.296000000002"/>
  </r>
  <r>
    <x v="9"/>
    <x v="11"/>
    <x v="8"/>
    <x v="0"/>
    <s v="Sedan"/>
    <x v="1"/>
    <n v="107095"/>
    <n v="352259"/>
    <n v="268"/>
    <n v="0.97"/>
    <n v="6.29"/>
    <n v="1.2"/>
    <n v="10"/>
    <x v="197"/>
    <x v="0"/>
    <n v="108380.14"/>
  </r>
  <r>
    <x v="7"/>
    <x v="5"/>
    <x v="6"/>
    <x v="6"/>
    <s v="Electric"/>
    <x v="1"/>
    <n v="119694"/>
    <n v="326393"/>
    <n v="55"/>
    <n v="0.97"/>
    <n v="6.29"/>
    <n v="1.2"/>
    <n v="6"/>
    <x v="171"/>
    <x v="0"/>
    <n v="121130.32799999999"/>
  </r>
  <r>
    <x v="0"/>
    <x v="6"/>
    <x v="3"/>
    <x v="2"/>
    <s v="SUV"/>
    <x v="1"/>
    <n v="70892"/>
    <n v="294255"/>
    <n v="320"/>
    <n v="0.97"/>
    <n v="6.29"/>
    <n v="1.2"/>
    <n v="5"/>
    <x v="198"/>
    <x v="0"/>
    <n v="71742.703999999998"/>
  </r>
  <r>
    <x v="4"/>
    <x v="4"/>
    <x v="5"/>
    <x v="8"/>
    <s v="Electric"/>
    <x v="2"/>
    <n v="112242"/>
    <n v="490041"/>
    <n v="340"/>
    <n v="0.97"/>
    <n v="6.29"/>
    <n v="1.2"/>
    <n v="9"/>
    <x v="199"/>
    <x v="0"/>
    <n v="113588.90399999999"/>
  </r>
  <r>
    <x v="5"/>
    <x v="7"/>
    <x v="2"/>
    <x v="1"/>
    <s v="Sedan"/>
    <x v="3"/>
    <n v="112606"/>
    <n v="160361"/>
    <n v="225"/>
    <n v="0.97"/>
    <n v="6.29"/>
    <n v="1.2"/>
    <n v="3"/>
    <x v="200"/>
    <x v="0"/>
    <n v="113957.272"/>
  </r>
  <r>
    <x v="0"/>
    <x v="8"/>
    <x v="9"/>
    <x v="1"/>
    <s v="Electric"/>
    <x v="0"/>
    <n v="35924"/>
    <n v="336744"/>
    <n v="310"/>
    <n v="0.97"/>
    <n v="6.29"/>
    <n v="1.2"/>
    <n v="3"/>
    <x v="201"/>
    <x v="0"/>
    <n v="36355.088000000003"/>
  </r>
  <r>
    <x v="4"/>
    <x v="11"/>
    <x v="6"/>
    <x v="7"/>
    <s v="Electric"/>
    <x v="2"/>
    <n v="86322"/>
    <n v="349850"/>
    <n v="342"/>
    <n v="0.97"/>
    <n v="6.29"/>
    <n v="1.2"/>
    <n v="7"/>
    <x v="35"/>
    <x v="0"/>
    <n v="87357.864000000001"/>
  </r>
  <r>
    <x v="9"/>
    <x v="0"/>
    <x v="2"/>
    <x v="0"/>
    <s v="SUV"/>
    <x v="1"/>
    <n v="61478"/>
    <n v="331366"/>
    <n v="33"/>
    <n v="0.97"/>
    <n v="6.29"/>
    <n v="1.2"/>
    <n v="7"/>
    <x v="202"/>
    <x v="0"/>
    <n v="62215.735999999997"/>
  </r>
  <r>
    <x v="1"/>
    <x v="5"/>
    <x v="9"/>
    <x v="9"/>
    <s v="SUV"/>
    <x v="2"/>
    <n v="106042"/>
    <n v="411185"/>
    <n v="44"/>
    <n v="0.97"/>
    <n v="6.29"/>
    <n v="1.2"/>
    <n v="6"/>
    <x v="2"/>
    <x v="0"/>
    <n v="107314.504"/>
  </r>
  <r>
    <x v="8"/>
    <x v="7"/>
    <x v="1"/>
    <x v="4"/>
    <s v="SUV"/>
    <x v="1"/>
    <n v="81418"/>
    <n v="416648"/>
    <n v="33"/>
    <n v="0.97"/>
    <n v="6.29"/>
    <n v="1.2"/>
    <n v="3"/>
    <x v="203"/>
    <x v="0"/>
    <n v="82395.016000000003"/>
  </r>
  <r>
    <x v="7"/>
    <x v="8"/>
    <x v="0"/>
    <x v="9"/>
    <s v="Sedan"/>
    <x v="0"/>
    <n v="97217"/>
    <n v="91139"/>
    <n v="37"/>
    <n v="0.97"/>
    <n v="6.29"/>
    <n v="1.2"/>
    <n v="7"/>
    <x v="204"/>
    <x v="0"/>
    <n v="98383.604000000007"/>
  </r>
  <r>
    <x v="8"/>
    <x v="6"/>
    <x v="3"/>
    <x v="7"/>
    <s v="Sedan"/>
    <x v="0"/>
    <n v="115846"/>
    <n v="164919"/>
    <n v="25"/>
    <n v="0.97"/>
    <n v="6.29"/>
    <n v="1.2"/>
    <n v="5"/>
    <x v="205"/>
    <x v="0"/>
    <n v="117236.152"/>
  </r>
  <r>
    <x v="3"/>
    <x v="2"/>
    <x v="4"/>
    <x v="2"/>
    <s v="SUV"/>
    <x v="3"/>
    <n v="108762"/>
    <n v="297677"/>
    <n v="68"/>
    <n v="0.97"/>
    <n v="6.29"/>
    <n v="1.2"/>
    <n v="7"/>
    <x v="206"/>
    <x v="0"/>
    <n v="110067.144"/>
  </r>
  <r>
    <x v="3"/>
    <x v="10"/>
    <x v="9"/>
    <x v="4"/>
    <s v="SUV"/>
    <x v="1"/>
    <n v="46781"/>
    <n v="353446"/>
    <n v="252"/>
    <n v="0.97"/>
    <n v="6.29"/>
    <n v="1.2"/>
    <n v="2"/>
    <x v="16"/>
    <x v="1"/>
    <n v="42102.9"/>
  </r>
  <r>
    <x v="0"/>
    <x v="5"/>
    <x v="4"/>
    <x v="8"/>
    <s v="Sedan"/>
    <x v="3"/>
    <n v="40515"/>
    <n v="275756"/>
    <n v="216"/>
    <n v="0.97"/>
    <n v="6.29"/>
    <n v="1.2"/>
    <n v="6"/>
    <x v="131"/>
    <x v="0"/>
    <n v="41001.18"/>
  </r>
  <r>
    <x v="9"/>
    <x v="6"/>
    <x v="0"/>
    <x v="9"/>
    <s v="Sedan"/>
    <x v="3"/>
    <n v="71133"/>
    <n v="399982"/>
    <n v="280"/>
    <n v="0.97"/>
    <n v="6.29"/>
    <n v="1.2"/>
    <n v="8"/>
    <x v="75"/>
    <x v="0"/>
    <n v="71986.596000000005"/>
  </r>
  <r>
    <x v="9"/>
    <x v="8"/>
    <x v="8"/>
    <x v="8"/>
    <s v="Sedan"/>
    <x v="0"/>
    <n v="117508"/>
    <n v="189718"/>
    <n v="258"/>
    <n v="0.97"/>
    <n v="6.29"/>
    <n v="1.2"/>
    <n v="1"/>
    <x v="207"/>
    <x v="2"/>
    <n v="117508"/>
  </r>
  <r>
    <x v="5"/>
    <x v="5"/>
    <x v="5"/>
    <x v="9"/>
    <s v="Sedan"/>
    <x v="2"/>
    <n v="111946"/>
    <n v="194615"/>
    <n v="276"/>
    <n v="0.97"/>
    <n v="6.29"/>
    <n v="1.2"/>
    <n v="4"/>
    <x v="208"/>
    <x v="0"/>
    <n v="113289.352"/>
  </r>
  <r>
    <x v="5"/>
    <x v="3"/>
    <x v="3"/>
    <x v="8"/>
    <s v="SUV"/>
    <x v="2"/>
    <n v="44095"/>
    <n v="275568"/>
    <n v="202"/>
    <n v="0.97"/>
    <n v="6.29"/>
    <n v="1.2"/>
    <n v="1"/>
    <x v="209"/>
    <x v="2"/>
    <n v="44095"/>
  </r>
  <r>
    <x v="5"/>
    <x v="7"/>
    <x v="0"/>
    <x v="9"/>
    <s v="Sedan"/>
    <x v="3"/>
    <n v="55470"/>
    <n v="203857"/>
    <n v="344"/>
    <n v="0.97"/>
    <n v="6.29"/>
    <n v="1.2"/>
    <n v="1"/>
    <x v="210"/>
    <x v="2"/>
    <n v="55470"/>
  </r>
  <r>
    <x v="1"/>
    <x v="8"/>
    <x v="0"/>
    <x v="8"/>
    <s v="SUV"/>
    <x v="0"/>
    <n v="78129"/>
    <n v="390497"/>
    <n v="227"/>
    <n v="0.97"/>
    <n v="6.29"/>
    <n v="1.2"/>
    <n v="10"/>
    <x v="211"/>
    <x v="0"/>
    <n v="79066.547999999995"/>
  </r>
  <r>
    <x v="2"/>
    <x v="3"/>
    <x v="1"/>
    <x v="7"/>
    <s v="Electric"/>
    <x v="1"/>
    <n v="43531"/>
    <n v="474622"/>
    <n v="124"/>
    <n v="0.97"/>
    <n v="6.29"/>
    <n v="1.2"/>
    <n v="8"/>
    <x v="212"/>
    <x v="0"/>
    <n v="44053.372000000003"/>
  </r>
  <r>
    <x v="6"/>
    <x v="1"/>
    <x v="2"/>
    <x v="5"/>
    <s v="Electric"/>
    <x v="2"/>
    <n v="72038"/>
    <n v="401136"/>
    <n v="77"/>
    <n v="0.97"/>
    <n v="6.29"/>
    <n v="1.2"/>
    <n v="7"/>
    <x v="213"/>
    <x v="0"/>
    <n v="72902.456000000006"/>
  </r>
  <r>
    <x v="2"/>
    <x v="11"/>
    <x v="5"/>
    <x v="4"/>
    <s v="Sedan"/>
    <x v="3"/>
    <n v="77674"/>
    <n v="363572"/>
    <n v="308"/>
    <n v="0.97"/>
    <n v="6.29"/>
    <n v="1.2"/>
    <n v="10"/>
    <x v="214"/>
    <x v="0"/>
    <n v="78606.088000000003"/>
  </r>
  <r>
    <x v="8"/>
    <x v="2"/>
    <x v="3"/>
    <x v="0"/>
    <s v="Electric"/>
    <x v="2"/>
    <n v="117476"/>
    <n v="73777"/>
    <n v="334"/>
    <n v="0.97"/>
    <n v="6.29"/>
    <n v="1.2"/>
    <n v="1"/>
    <x v="215"/>
    <x v="2"/>
    <n v="117476"/>
  </r>
  <r>
    <x v="2"/>
    <x v="7"/>
    <x v="8"/>
    <x v="2"/>
    <s v="Electric"/>
    <x v="2"/>
    <n v="64831"/>
    <n v="107939"/>
    <n v="84"/>
    <n v="0.97"/>
    <n v="6.29"/>
    <n v="1.2"/>
    <n v="2"/>
    <x v="216"/>
    <x v="2"/>
    <n v="64831"/>
  </r>
  <r>
    <x v="1"/>
    <x v="5"/>
    <x v="8"/>
    <x v="3"/>
    <s v="Electric"/>
    <x v="1"/>
    <n v="92174"/>
    <n v="496242"/>
    <n v="112"/>
    <n v="0.97"/>
    <n v="6.29"/>
    <n v="1.2"/>
    <n v="4"/>
    <x v="40"/>
    <x v="0"/>
    <n v="93280.088000000003"/>
  </r>
  <r>
    <x v="8"/>
    <x v="10"/>
    <x v="7"/>
    <x v="6"/>
    <s v="Sedan"/>
    <x v="0"/>
    <n v="46279"/>
    <n v="398594"/>
    <n v="306"/>
    <n v="0.97"/>
    <n v="6.29"/>
    <n v="1.2"/>
    <n v="1"/>
    <x v="217"/>
    <x v="1"/>
    <n v="41651.1"/>
  </r>
  <r>
    <x v="2"/>
    <x v="6"/>
    <x v="0"/>
    <x v="0"/>
    <s v="Sedan"/>
    <x v="1"/>
    <n v="73220"/>
    <n v="472769"/>
    <n v="187"/>
    <n v="0.97"/>
    <n v="6.29"/>
    <n v="1.2"/>
    <n v="3"/>
    <x v="218"/>
    <x v="0"/>
    <n v="74098.64"/>
  </r>
  <r>
    <x v="1"/>
    <x v="0"/>
    <x v="9"/>
    <x v="6"/>
    <s v="Electric"/>
    <x v="0"/>
    <n v="95610"/>
    <n v="73548"/>
    <n v="224"/>
    <n v="0.97"/>
    <n v="6.29"/>
    <n v="1.2"/>
    <n v="8"/>
    <x v="134"/>
    <x v="0"/>
    <n v="96757.32"/>
  </r>
  <r>
    <x v="6"/>
    <x v="6"/>
    <x v="1"/>
    <x v="4"/>
    <s v="SUV"/>
    <x v="2"/>
    <n v="87719"/>
    <n v="480481"/>
    <n v="324"/>
    <n v="0.97"/>
    <n v="6.29"/>
    <n v="1.2"/>
    <n v="8"/>
    <x v="65"/>
    <x v="0"/>
    <n v="88771.627999999997"/>
  </r>
  <r>
    <x v="2"/>
    <x v="5"/>
    <x v="5"/>
    <x v="0"/>
    <s v="Electric"/>
    <x v="3"/>
    <n v="88051"/>
    <n v="175549"/>
    <n v="48"/>
    <n v="0.97"/>
    <n v="6.29"/>
    <n v="1.2"/>
    <n v="8"/>
    <x v="219"/>
    <x v="0"/>
    <n v="89107.611999999994"/>
  </r>
  <r>
    <x v="1"/>
    <x v="2"/>
    <x v="8"/>
    <x v="8"/>
    <s v="Sedan"/>
    <x v="1"/>
    <n v="107013"/>
    <n v="483917"/>
    <n v="268"/>
    <n v="0.97"/>
    <n v="6.29"/>
    <n v="1.2"/>
    <n v="6"/>
    <x v="220"/>
    <x v="0"/>
    <n v="108297.156"/>
  </r>
  <r>
    <x v="5"/>
    <x v="6"/>
    <x v="3"/>
    <x v="8"/>
    <s v="Sedan"/>
    <x v="0"/>
    <n v="91652"/>
    <n v="494503"/>
    <n v="213"/>
    <n v="0.97"/>
    <n v="6.29"/>
    <n v="1.2"/>
    <n v="6"/>
    <x v="14"/>
    <x v="0"/>
    <n v="92751.824000000008"/>
  </r>
  <r>
    <x v="9"/>
    <x v="11"/>
    <x v="7"/>
    <x v="3"/>
    <s v="Sedan"/>
    <x v="2"/>
    <n v="100524"/>
    <n v="187799"/>
    <n v="16"/>
    <n v="0.97"/>
    <n v="6.29"/>
    <n v="1.2"/>
    <n v="5"/>
    <x v="221"/>
    <x v="0"/>
    <n v="101730.288"/>
  </r>
  <r>
    <x v="5"/>
    <x v="2"/>
    <x v="3"/>
    <x v="6"/>
    <s v="Electric"/>
    <x v="0"/>
    <n v="117936"/>
    <n v="291532"/>
    <n v="58"/>
    <n v="0.97"/>
    <n v="6.29"/>
    <n v="1.2"/>
    <n v="9"/>
    <x v="222"/>
    <x v="0"/>
    <n v="119351.232"/>
  </r>
  <r>
    <x v="9"/>
    <x v="8"/>
    <x v="1"/>
    <x v="2"/>
    <s v="SUV"/>
    <x v="0"/>
    <n v="41470"/>
    <n v="231789"/>
    <n v="35"/>
    <n v="0.97"/>
    <n v="6.29"/>
    <n v="1.2"/>
    <n v="4"/>
    <x v="223"/>
    <x v="0"/>
    <n v="41967.64"/>
  </r>
  <r>
    <x v="7"/>
    <x v="3"/>
    <x v="9"/>
    <x v="4"/>
    <s v="Sedan"/>
    <x v="0"/>
    <n v="102598"/>
    <n v="475643"/>
    <n v="170"/>
    <n v="0.97"/>
    <n v="6.29"/>
    <n v="1.2"/>
    <n v="10"/>
    <x v="224"/>
    <x v="0"/>
    <n v="103829.17600000001"/>
  </r>
  <r>
    <x v="7"/>
    <x v="0"/>
    <x v="7"/>
    <x v="8"/>
    <s v="Sedan"/>
    <x v="2"/>
    <n v="76798"/>
    <n v="197764"/>
    <n v="366"/>
    <n v="0.97"/>
    <n v="6.29"/>
    <n v="1.2"/>
    <n v="7"/>
    <x v="225"/>
    <x v="0"/>
    <n v="77719.576000000001"/>
  </r>
  <r>
    <x v="7"/>
    <x v="9"/>
    <x v="7"/>
    <x v="5"/>
    <s v="Electric"/>
    <x v="3"/>
    <n v="88473"/>
    <n v="81625"/>
    <n v="185"/>
    <n v="0.97"/>
    <n v="6.29"/>
    <n v="1.2"/>
    <n v="1"/>
    <x v="226"/>
    <x v="2"/>
    <n v="88473"/>
  </r>
  <r>
    <x v="6"/>
    <x v="5"/>
    <x v="2"/>
    <x v="7"/>
    <s v="SUV"/>
    <x v="3"/>
    <n v="54880"/>
    <n v="337062"/>
    <n v="88"/>
    <n v="0.97"/>
    <n v="6.29"/>
    <n v="1.2"/>
    <n v="9"/>
    <x v="177"/>
    <x v="0"/>
    <n v="55538.559999999998"/>
  </r>
  <r>
    <x v="5"/>
    <x v="4"/>
    <x v="5"/>
    <x v="7"/>
    <s v="Electric"/>
    <x v="3"/>
    <n v="79439"/>
    <n v="484352"/>
    <n v="11"/>
    <n v="0.97"/>
    <n v="6.29"/>
    <n v="1.2"/>
    <n v="7"/>
    <x v="227"/>
    <x v="0"/>
    <n v="80392.267999999996"/>
  </r>
  <r>
    <x v="9"/>
    <x v="9"/>
    <x v="7"/>
    <x v="9"/>
    <s v="Sedan"/>
    <x v="0"/>
    <n v="49308"/>
    <n v="426970"/>
    <n v="392"/>
    <n v="0.97"/>
    <n v="6.29"/>
    <n v="1.2"/>
    <n v="10"/>
    <x v="228"/>
    <x v="0"/>
    <n v="49899.696000000004"/>
  </r>
  <r>
    <x v="1"/>
    <x v="6"/>
    <x v="2"/>
    <x v="2"/>
    <s v="SUV"/>
    <x v="2"/>
    <n v="70081"/>
    <n v="164881"/>
    <n v="141"/>
    <n v="0.97"/>
    <n v="6.29"/>
    <n v="1.2"/>
    <n v="9"/>
    <x v="229"/>
    <x v="0"/>
    <n v="70921.971999999994"/>
  </r>
  <r>
    <x v="8"/>
    <x v="5"/>
    <x v="2"/>
    <x v="7"/>
    <s v="SUV"/>
    <x v="0"/>
    <n v="110242"/>
    <n v="495625"/>
    <n v="285"/>
    <n v="0.97"/>
    <n v="6.29"/>
    <n v="1.2"/>
    <n v="7"/>
    <x v="230"/>
    <x v="0"/>
    <n v="111564.90399999999"/>
  </r>
  <r>
    <x v="1"/>
    <x v="3"/>
    <x v="1"/>
    <x v="9"/>
    <s v="Sedan"/>
    <x v="3"/>
    <n v="85383"/>
    <n v="327721"/>
    <n v="126"/>
    <n v="0.97"/>
    <n v="6.29"/>
    <n v="1.2"/>
    <n v="2"/>
    <x v="231"/>
    <x v="1"/>
    <n v="76844.7"/>
  </r>
  <r>
    <x v="8"/>
    <x v="1"/>
    <x v="4"/>
    <x v="6"/>
    <s v="SUV"/>
    <x v="3"/>
    <n v="44837"/>
    <n v="397299"/>
    <n v="173"/>
    <n v="0.97"/>
    <n v="6.29"/>
    <n v="1.2"/>
    <n v="6"/>
    <x v="232"/>
    <x v="0"/>
    <n v="45375.044000000002"/>
  </r>
  <r>
    <x v="3"/>
    <x v="3"/>
    <x v="3"/>
    <x v="8"/>
    <s v="SUV"/>
    <x v="2"/>
    <n v="87151"/>
    <n v="161776"/>
    <n v="297"/>
    <n v="0.97"/>
    <n v="6.29"/>
    <n v="1.2"/>
    <n v="10"/>
    <x v="43"/>
    <x v="0"/>
    <n v="88196.812000000005"/>
  </r>
  <r>
    <x v="1"/>
    <x v="4"/>
    <x v="9"/>
    <x v="8"/>
    <s v="Electric"/>
    <x v="0"/>
    <n v="71824"/>
    <n v="411390"/>
    <n v="37"/>
    <n v="0.97"/>
    <n v="6.29"/>
    <n v="1.2"/>
    <n v="4"/>
    <x v="233"/>
    <x v="0"/>
    <n v="72685.888000000006"/>
  </r>
  <r>
    <x v="2"/>
    <x v="0"/>
    <x v="6"/>
    <x v="5"/>
    <s v="Sedan"/>
    <x v="1"/>
    <n v="68073"/>
    <n v="283996"/>
    <n v="342"/>
    <n v="0.97"/>
    <n v="6.29"/>
    <n v="1.2"/>
    <n v="3"/>
    <x v="234"/>
    <x v="0"/>
    <n v="68889.876000000004"/>
  </r>
  <r>
    <x v="2"/>
    <x v="3"/>
    <x v="3"/>
    <x v="0"/>
    <s v="Sedan"/>
    <x v="1"/>
    <n v="61299"/>
    <n v="307831"/>
    <n v="10"/>
    <n v="0.97"/>
    <n v="6.29"/>
    <n v="1.2"/>
    <n v="2"/>
    <x v="235"/>
    <x v="1"/>
    <n v="55169.1"/>
  </r>
  <r>
    <x v="0"/>
    <x v="10"/>
    <x v="7"/>
    <x v="7"/>
    <s v="Sedan"/>
    <x v="3"/>
    <n v="93861"/>
    <n v="262803"/>
    <n v="197"/>
    <n v="0.97"/>
    <n v="6.29"/>
    <n v="1.2"/>
    <n v="6"/>
    <x v="236"/>
    <x v="0"/>
    <n v="94987.331999999995"/>
  </r>
  <r>
    <x v="5"/>
    <x v="1"/>
    <x v="9"/>
    <x v="6"/>
    <s v="Sedan"/>
    <x v="2"/>
    <n v="65063"/>
    <n v="208761"/>
    <n v="65"/>
    <n v="0.97"/>
    <n v="6.29"/>
    <n v="1.2"/>
    <n v="8"/>
    <x v="178"/>
    <x v="0"/>
    <n v="65843.755999999994"/>
  </r>
  <r>
    <x v="8"/>
    <x v="9"/>
    <x v="8"/>
    <x v="1"/>
    <s v="Sedan"/>
    <x v="0"/>
    <n v="104453"/>
    <n v="192226"/>
    <n v="44"/>
    <n v="0.97"/>
    <n v="6.29"/>
    <n v="1.2"/>
    <n v="6"/>
    <x v="237"/>
    <x v="0"/>
    <n v="105706.436"/>
  </r>
  <r>
    <x v="8"/>
    <x v="8"/>
    <x v="4"/>
    <x v="7"/>
    <s v="SUV"/>
    <x v="0"/>
    <n v="103472"/>
    <n v="407092"/>
    <n v="121"/>
    <n v="0.97"/>
    <n v="6.29"/>
    <n v="1.2"/>
    <n v="9"/>
    <x v="238"/>
    <x v="0"/>
    <n v="104713.664"/>
  </r>
  <r>
    <x v="5"/>
    <x v="11"/>
    <x v="8"/>
    <x v="2"/>
    <s v="Electric"/>
    <x v="3"/>
    <n v="49506"/>
    <n v="71341"/>
    <n v="295"/>
    <n v="0.97"/>
    <n v="6.29"/>
    <n v="1.2"/>
    <n v="5"/>
    <x v="239"/>
    <x v="0"/>
    <n v="50100.072"/>
  </r>
  <r>
    <x v="6"/>
    <x v="10"/>
    <x v="8"/>
    <x v="0"/>
    <s v="Sedan"/>
    <x v="3"/>
    <n v="114854"/>
    <n v="409698"/>
    <n v="319"/>
    <n v="0.97"/>
    <n v="6.29"/>
    <n v="1.2"/>
    <n v="2"/>
    <x v="240"/>
    <x v="1"/>
    <n v="103368.6"/>
  </r>
  <r>
    <x v="0"/>
    <x v="1"/>
    <x v="5"/>
    <x v="7"/>
    <s v="Electric"/>
    <x v="0"/>
    <n v="61026"/>
    <n v="255753"/>
    <n v="45"/>
    <n v="0.97"/>
    <n v="6.29"/>
    <n v="1.2"/>
    <n v="8"/>
    <x v="241"/>
    <x v="0"/>
    <n v="61758.311999999998"/>
  </r>
  <r>
    <x v="6"/>
    <x v="8"/>
    <x v="3"/>
    <x v="6"/>
    <s v="Electric"/>
    <x v="0"/>
    <n v="62672"/>
    <n v="419942"/>
    <n v="226"/>
    <n v="0.97"/>
    <n v="6.29"/>
    <n v="1.2"/>
    <n v="9"/>
    <x v="129"/>
    <x v="0"/>
    <n v="63424.063999999998"/>
  </r>
  <r>
    <x v="6"/>
    <x v="8"/>
    <x v="6"/>
    <x v="7"/>
    <s v="SUV"/>
    <x v="3"/>
    <n v="73417"/>
    <n v="358474"/>
    <n v="89"/>
    <n v="0.97"/>
    <n v="6.29"/>
    <n v="1.2"/>
    <n v="10"/>
    <x v="9"/>
    <x v="0"/>
    <n v="74298.004000000001"/>
  </r>
  <r>
    <x v="6"/>
    <x v="5"/>
    <x v="1"/>
    <x v="2"/>
    <s v="Sedan"/>
    <x v="0"/>
    <n v="87413"/>
    <n v="299141"/>
    <n v="323"/>
    <n v="0.97"/>
    <n v="6.29"/>
    <n v="1.2"/>
    <n v="4"/>
    <x v="242"/>
    <x v="0"/>
    <n v="88461.956000000006"/>
  </r>
  <r>
    <x v="5"/>
    <x v="1"/>
    <x v="6"/>
    <x v="1"/>
    <s v="SUV"/>
    <x v="1"/>
    <n v="100066"/>
    <n v="399903"/>
    <n v="92"/>
    <n v="0.97"/>
    <n v="6.29"/>
    <n v="1.2"/>
    <n v="6"/>
    <x v="243"/>
    <x v="0"/>
    <n v="101266.792"/>
  </r>
  <r>
    <x v="6"/>
    <x v="0"/>
    <x v="8"/>
    <x v="4"/>
    <s v="Sedan"/>
    <x v="3"/>
    <n v="94213"/>
    <n v="249488"/>
    <n v="74"/>
    <n v="0.97"/>
    <n v="6.29"/>
    <n v="1.2"/>
    <n v="10"/>
    <x v="244"/>
    <x v="0"/>
    <n v="95343.555999999997"/>
  </r>
  <r>
    <x v="2"/>
    <x v="6"/>
    <x v="7"/>
    <x v="3"/>
    <s v="SUV"/>
    <x v="0"/>
    <n v="85971"/>
    <n v="306139"/>
    <n v="334"/>
    <n v="0.97"/>
    <n v="6.29"/>
    <n v="1.2"/>
    <n v="8"/>
    <x v="245"/>
    <x v="0"/>
    <n v="87002.652000000002"/>
  </r>
  <r>
    <x v="7"/>
    <x v="4"/>
    <x v="4"/>
    <x v="1"/>
    <s v="Electric"/>
    <x v="3"/>
    <n v="62281"/>
    <n v="398951"/>
    <n v="137"/>
    <n v="0.97"/>
    <n v="6.29"/>
    <n v="1.2"/>
    <n v="9"/>
    <x v="246"/>
    <x v="0"/>
    <n v="63028.372000000003"/>
  </r>
  <r>
    <x v="3"/>
    <x v="4"/>
    <x v="0"/>
    <x v="9"/>
    <s v="Sedan"/>
    <x v="2"/>
    <n v="63091"/>
    <n v="345457"/>
    <n v="316"/>
    <n v="0.97"/>
    <n v="6.29"/>
    <n v="1.2"/>
    <n v="5"/>
    <x v="247"/>
    <x v="0"/>
    <n v="63848.092000000004"/>
  </r>
  <r>
    <x v="8"/>
    <x v="9"/>
    <x v="6"/>
    <x v="7"/>
    <s v="Electric"/>
    <x v="3"/>
    <n v="85494"/>
    <n v="359044"/>
    <n v="31"/>
    <n v="0.97"/>
    <n v="6.29"/>
    <n v="1.2"/>
    <n v="6"/>
    <x v="95"/>
    <x v="0"/>
    <n v="86519.928"/>
  </r>
  <r>
    <x v="8"/>
    <x v="9"/>
    <x v="8"/>
    <x v="8"/>
    <s v="Electric"/>
    <x v="3"/>
    <n v="53610"/>
    <n v="128840"/>
    <n v="225"/>
    <n v="0.97"/>
    <n v="6.29"/>
    <n v="1.2"/>
    <n v="4"/>
    <x v="248"/>
    <x v="0"/>
    <n v="54253.32"/>
  </r>
  <r>
    <x v="3"/>
    <x v="4"/>
    <x v="4"/>
    <x v="5"/>
    <s v="SUV"/>
    <x v="2"/>
    <n v="36079"/>
    <n v="215767"/>
    <n v="116"/>
    <n v="0.97"/>
    <n v="6.29"/>
    <n v="1.2"/>
    <n v="5"/>
    <x v="249"/>
    <x v="0"/>
    <n v="36511.948000000004"/>
  </r>
  <r>
    <x v="5"/>
    <x v="3"/>
    <x v="9"/>
    <x v="8"/>
    <s v="Sedan"/>
    <x v="1"/>
    <n v="81751"/>
    <n v="211297"/>
    <n v="118"/>
    <n v="0.97"/>
    <n v="6.29"/>
    <n v="1.2"/>
    <n v="7"/>
    <x v="250"/>
    <x v="0"/>
    <n v="82732.012000000002"/>
  </r>
  <r>
    <x v="1"/>
    <x v="0"/>
    <x v="3"/>
    <x v="1"/>
    <s v="Electric"/>
    <x v="0"/>
    <n v="90432"/>
    <n v="398216"/>
    <n v="381"/>
    <n v="0.97"/>
    <n v="6.29"/>
    <n v="1.2"/>
    <n v="9"/>
    <x v="251"/>
    <x v="0"/>
    <n v="91517.183999999994"/>
  </r>
  <r>
    <x v="5"/>
    <x v="3"/>
    <x v="2"/>
    <x v="8"/>
    <s v="SUV"/>
    <x v="2"/>
    <n v="65951"/>
    <n v="408511"/>
    <n v="366"/>
    <n v="0.97"/>
    <n v="6.29"/>
    <n v="1.2"/>
    <n v="10"/>
    <x v="218"/>
    <x v="0"/>
    <n v="66742.411999999997"/>
  </r>
  <r>
    <x v="8"/>
    <x v="3"/>
    <x v="5"/>
    <x v="6"/>
    <s v="Sedan"/>
    <x v="3"/>
    <n v="115863"/>
    <n v="99156"/>
    <n v="190"/>
    <n v="0.97"/>
    <n v="6.29"/>
    <n v="1.2"/>
    <n v="6"/>
    <x v="252"/>
    <x v="0"/>
    <n v="117253.356"/>
  </r>
  <r>
    <x v="8"/>
    <x v="11"/>
    <x v="4"/>
    <x v="8"/>
    <s v="Sedan"/>
    <x v="0"/>
    <n v="113291"/>
    <n v="258281"/>
    <n v="365"/>
    <n v="0.97"/>
    <n v="6.29"/>
    <n v="1.2"/>
    <n v="6"/>
    <x v="253"/>
    <x v="0"/>
    <n v="114650.492"/>
  </r>
  <r>
    <x v="3"/>
    <x v="7"/>
    <x v="7"/>
    <x v="0"/>
    <s v="Electric"/>
    <x v="2"/>
    <n v="94872"/>
    <n v="137453"/>
    <n v="173"/>
    <n v="0.97"/>
    <n v="6.29"/>
    <n v="1.2"/>
    <n v="8"/>
    <x v="254"/>
    <x v="0"/>
    <n v="96010.464000000007"/>
  </r>
  <r>
    <x v="6"/>
    <x v="6"/>
    <x v="7"/>
    <x v="4"/>
    <s v="Sedan"/>
    <x v="0"/>
    <n v="42235"/>
    <n v="208901"/>
    <n v="77"/>
    <n v="0.97"/>
    <n v="6.29"/>
    <n v="1.2"/>
    <n v="4"/>
    <x v="255"/>
    <x v="0"/>
    <n v="42741.82"/>
  </r>
  <r>
    <x v="5"/>
    <x v="11"/>
    <x v="4"/>
    <x v="7"/>
    <s v="Electric"/>
    <x v="0"/>
    <n v="117733"/>
    <n v="75938"/>
    <n v="301"/>
    <n v="0.97"/>
    <n v="6.29"/>
    <n v="1.2"/>
    <n v="3"/>
    <x v="27"/>
    <x v="0"/>
    <n v="119145.796"/>
  </r>
  <r>
    <x v="9"/>
    <x v="5"/>
    <x v="7"/>
    <x v="8"/>
    <s v="Sedan"/>
    <x v="2"/>
    <n v="97712"/>
    <n v="109164"/>
    <n v="189"/>
    <n v="0.97"/>
    <n v="6.29"/>
    <n v="1.2"/>
    <n v="7"/>
    <x v="256"/>
    <x v="0"/>
    <n v="98884.543999999994"/>
  </r>
  <r>
    <x v="3"/>
    <x v="7"/>
    <x v="3"/>
    <x v="2"/>
    <s v="SUV"/>
    <x v="0"/>
    <n v="56473"/>
    <n v="497746"/>
    <n v="190"/>
    <n v="0.97"/>
    <n v="6.29"/>
    <n v="1.2"/>
    <n v="5"/>
    <x v="29"/>
    <x v="0"/>
    <n v="57150.675999999999"/>
  </r>
  <r>
    <x v="2"/>
    <x v="7"/>
    <x v="7"/>
    <x v="4"/>
    <s v="Electric"/>
    <x v="1"/>
    <n v="102567"/>
    <n v="249271"/>
    <n v="178"/>
    <n v="0.97"/>
    <n v="6.29"/>
    <n v="1.2"/>
    <n v="2"/>
    <x v="257"/>
    <x v="2"/>
    <n v="102567"/>
  </r>
  <r>
    <x v="8"/>
    <x v="1"/>
    <x v="6"/>
    <x v="4"/>
    <s v="Electric"/>
    <x v="2"/>
    <n v="114823"/>
    <n v="110282"/>
    <n v="31"/>
    <n v="0.97"/>
    <n v="6.29"/>
    <n v="1.2"/>
    <n v="2"/>
    <x v="258"/>
    <x v="2"/>
    <n v="114823"/>
  </r>
  <r>
    <x v="3"/>
    <x v="0"/>
    <x v="2"/>
    <x v="8"/>
    <s v="Sedan"/>
    <x v="1"/>
    <n v="67230"/>
    <n v="359945"/>
    <n v="75"/>
    <n v="0.97"/>
    <n v="6.29"/>
    <n v="1.2"/>
    <n v="6"/>
    <x v="259"/>
    <x v="0"/>
    <n v="68036.759999999995"/>
  </r>
  <r>
    <x v="5"/>
    <x v="0"/>
    <x v="7"/>
    <x v="4"/>
    <s v="Sedan"/>
    <x v="3"/>
    <n v="119573"/>
    <n v="452681"/>
    <n v="30"/>
    <n v="0.97"/>
    <n v="6.29"/>
    <n v="1.2"/>
    <n v="8"/>
    <x v="260"/>
    <x v="0"/>
    <n v="121007.876"/>
  </r>
  <r>
    <x v="8"/>
    <x v="7"/>
    <x v="2"/>
    <x v="5"/>
    <s v="Electric"/>
    <x v="0"/>
    <n v="103876"/>
    <n v="315470"/>
    <n v="109"/>
    <n v="0.97"/>
    <n v="6.29"/>
    <n v="1.2"/>
    <n v="1"/>
    <x v="226"/>
    <x v="1"/>
    <n v="93488.400000000009"/>
  </r>
  <r>
    <x v="1"/>
    <x v="3"/>
    <x v="8"/>
    <x v="8"/>
    <s v="Sedan"/>
    <x v="3"/>
    <n v="75644"/>
    <n v="446875"/>
    <n v="393"/>
    <n v="0.97"/>
    <n v="6.29"/>
    <n v="1.2"/>
    <n v="6"/>
    <x v="162"/>
    <x v="0"/>
    <n v="76551.728000000003"/>
  </r>
  <r>
    <x v="3"/>
    <x v="1"/>
    <x v="1"/>
    <x v="6"/>
    <s v="SUV"/>
    <x v="3"/>
    <n v="83664"/>
    <n v="208666"/>
    <n v="309"/>
    <n v="0.97"/>
    <n v="6.29"/>
    <n v="1.2"/>
    <n v="2"/>
    <x v="5"/>
    <x v="2"/>
    <n v="83664"/>
  </r>
  <r>
    <x v="0"/>
    <x v="6"/>
    <x v="3"/>
    <x v="1"/>
    <s v="Sedan"/>
    <x v="0"/>
    <n v="80203"/>
    <n v="165819"/>
    <n v="112"/>
    <n v="0.97"/>
    <n v="6.29"/>
    <n v="1.2"/>
    <n v="2"/>
    <x v="261"/>
    <x v="2"/>
    <n v="80203"/>
  </r>
  <r>
    <x v="8"/>
    <x v="7"/>
    <x v="1"/>
    <x v="0"/>
    <s v="SUV"/>
    <x v="2"/>
    <n v="101677"/>
    <n v="316907"/>
    <n v="56"/>
    <n v="0.97"/>
    <n v="6.29"/>
    <n v="1.2"/>
    <n v="7"/>
    <x v="262"/>
    <x v="0"/>
    <n v="102897.124"/>
  </r>
  <r>
    <x v="5"/>
    <x v="10"/>
    <x v="8"/>
    <x v="3"/>
    <s v="SUV"/>
    <x v="0"/>
    <n v="60425"/>
    <n v="191900"/>
    <n v="48"/>
    <n v="0.97"/>
    <n v="6.29"/>
    <n v="1.2"/>
    <n v="10"/>
    <x v="263"/>
    <x v="0"/>
    <n v="61150.1"/>
  </r>
  <r>
    <x v="7"/>
    <x v="9"/>
    <x v="3"/>
    <x v="9"/>
    <s v="SUV"/>
    <x v="3"/>
    <n v="119817"/>
    <n v="359732"/>
    <n v="294"/>
    <n v="0.97"/>
    <n v="6.29"/>
    <n v="1.2"/>
    <n v="1"/>
    <x v="3"/>
    <x v="1"/>
    <n v="107835.3"/>
  </r>
  <r>
    <x v="9"/>
    <x v="9"/>
    <x v="4"/>
    <x v="4"/>
    <s v="SUV"/>
    <x v="3"/>
    <n v="104806"/>
    <n v="323365"/>
    <n v="319"/>
    <n v="0.97"/>
    <n v="6.29"/>
    <n v="1.2"/>
    <n v="6"/>
    <x v="65"/>
    <x v="0"/>
    <n v="106063.67200000001"/>
  </r>
  <r>
    <x v="4"/>
    <x v="11"/>
    <x v="4"/>
    <x v="6"/>
    <s v="SUV"/>
    <x v="2"/>
    <n v="77814"/>
    <n v="454427"/>
    <n v="99"/>
    <n v="0.97"/>
    <n v="6.29"/>
    <n v="1.2"/>
    <n v="7"/>
    <x v="264"/>
    <x v="0"/>
    <n v="78747.767999999996"/>
  </r>
  <r>
    <x v="6"/>
    <x v="5"/>
    <x v="2"/>
    <x v="7"/>
    <s v="Sedan"/>
    <x v="0"/>
    <n v="105219"/>
    <n v="63569"/>
    <n v="94"/>
    <n v="0.97"/>
    <n v="6.29"/>
    <n v="1.2"/>
    <n v="8"/>
    <x v="265"/>
    <x v="0"/>
    <n v="106481.628"/>
  </r>
  <r>
    <x v="4"/>
    <x v="2"/>
    <x v="8"/>
    <x v="7"/>
    <s v="SUV"/>
    <x v="3"/>
    <n v="84646"/>
    <n v="277966"/>
    <n v="282"/>
    <n v="0.97"/>
    <n v="6.29"/>
    <n v="1.2"/>
    <n v="7"/>
    <x v="266"/>
    <x v="0"/>
    <n v="85661.752000000008"/>
  </r>
  <r>
    <x v="5"/>
    <x v="2"/>
    <x v="2"/>
    <x v="9"/>
    <s v="Sedan"/>
    <x v="1"/>
    <n v="74884"/>
    <n v="87860"/>
    <n v="345"/>
    <n v="0.97"/>
    <n v="6.29"/>
    <n v="1.2"/>
    <n v="6"/>
    <x v="267"/>
    <x v="0"/>
    <n v="75782.608000000007"/>
  </r>
  <r>
    <x v="2"/>
    <x v="9"/>
    <x v="5"/>
    <x v="0"/>
    <s v="SUV"/>
    <x v="3"/>
    <n v="104322"/>
    <n v="252630"/>
    <n v="197"/>
    <n v="0.97"/>
    <n v="6.29"/>
    <n v="1.2"/>
    <n v="9"/>
    <x v="268"/>
    <x v="0"/>
    <n v="105573.864"/>
  </r>
  <r>
    <x v="2"/>
    <x v="8"/>
    <x v="7"/>
    <x v="4"/>
    <s v="Electric"/>
    <x v="3"/>
    <n v="56650"/>
    <n v="357481"/>
    <n v="168"/>
    <n v="0.97"/>
    <n v="6.29"/>
    <n v="1.2"/>
    <n v="3"/>
    <x v="125"/>
    <x v="0"/>
    <n v="57329.8"/>
  </r>
  <r>
    <x v="7"/>
    <x v="11"/>
    <x v="0"/>
    <x v="5"/>
    <s v="SUV"/>
    <x v="2"/>
    <n v="44190"/>
    <n v="495527"/>
    <n v="252"/>
    <n v="0.97"/>
    <n v="6.29"/>
    <n v="1.2"/>
    <n v="6"/>
    <x v="121"/>
    <x v="0"/>
    <n v="44720.28"/>
  </r>
  <r>
    <x v="6"/>
    <x v="2"/>
    <x v="5"/>
    <x v="9"/>
    <s v="Electric"/>
    <x v="1"/>
    <n v="73196"/>
    <n v="194587"/>
    <n v="82"/>
    <n v="0.97"/>
    <n v="6.29"/>
    <n v="1.2"/>
    <n v="4"/>
    <x v="80"/>
    <x v="0"/>
    <n v="74074.351999999999"/>
  </r>
  <r>
    <x v="0"/>
    <x v="9"/>
    <x v="7"/>
    <x v="0"/>
    <s v="SUV"/>
    <x v="3"/>
    <n v="74449"/>
    <n v="121695"/>
    <n v="58"/>
    <n v="0.97"/>
    <n v="6.29"/>
    <n v="1.2"/>
    <n v="2"/>
    <x v="193"/>
    <x v="2"/>
    <n v="74449"/>
  </r>
  <r>
    <x v="7"/>
    <x v="5"/>
    <x v="3"/>
    <x v="4"/>
    <s v="SUV"/>
    <x v="3"/>
    <n v="74661"/>
    <n v="303078"/>
    <n v="110"/>
    <n v="0.97"/>
    <n v="6.29"/>
    <n v="1.2"/>
    <n v="1"/>
    <x v="229"/>
    <x v="1"/>
    <n v="67194.900000000009"/>
  </r>
  <r>
    <x v="4"/>
    <x v="2"/>
    <x v="2"/>
    <x v="6"/>
    <s v="SUV"/>
    <x v="1"/>
    <n v="64709"/>
    <n v="292599"/>
    <n v="11"/>
    <n v="0.97"/>
    <n v="6.29"/>
    <n v="1.2"/>
    <n v="1"/>
    <x v="269"/>
    <x v="2"/>
    <n v="64709"/>
  </r>
  <r>
    <x v="7"/>
    <x v="3"/>
    <x v="3"/>
    <x v="1"/>
    <s v="Electric"/>
    <x v="0"/>
    <n v="115428"/>
    <n v="418893"/>
    <n v="253"/>
    <n v="0.97"/>
    <n v="6.29"/>
    <n v="1.2"/>
    <n v="10"/>
    <x v="270"/>
    <x v="0"/>
    <n v="116813.136"/>
  </r>
  <r>
    <x v="4"/>
    <x v="3"/>
    <x v="3"/>
    <x v="5"/>
    <s v="Electric"/>
    <x v="0"/>
    <n v="110179"/>
    <n v="205976"/>
    <n v="185"/>
    <n v="0.97"/>
    <n v="6.29"/>
    <n v="1.2"/>
    <n v="3"/>
    <x v="271"/>
    <x v="0"/>
    <n v="111501.148"/>
  </r>
  <r>
    <x v="8"/>
    <x v="0"/>
    <x v="7"/>
    <x v="3"/>
    <s v="SUV"/>
    <x v="3"/>
    <n v="44943"/>
    <n v="241007"/>
    <n v="247"/>
    <n v="0.97"/>
    <n v="6.29"/>
    <n v="1.2"/>
    <n v="4"/>
    <x v="272"/>
    <x v="0"/>
    <n v="45482.315999999999"/>
  </r>
  <r>
    <x v="2"/>
    <x v="0"/>
    <x v="8"/>
    <x v="7"/>
    <s v="Sedan"/>
    <x v="3"/>
    <n v="78240"/>
    <n v="355934"/>
    <n v="68"/>
    <n v="0.97"/>
    <n v="6.29"/>
    <n v="1.2"/>
    <n v="2"/>
    <x v="273"/>
    <x v="1"/>
    <n v="70416"/>
  </r>
  <r>
    <x v="8"/>
    <x v="6"/>
    <x v="7"/>
    <x v="2"/>
    <s v="SUV"/>
    <x v="0"/>
    <n v="80760"/>
    <n v="380724"/>
    <n v="362"/>
    <n v="0.97"/>
    <n v="6.29"/>
    <n v="1.2"/>
    <n v="1"/>
    <x v="274"/>
    <x v="1"/>
    <n v="72684"/>
  </r>
  <r>
    <x v="9"/>
    <x v="7"/>
    <x v="9"/>
    <x v="6"/>
    <s v="Electric"/>
    <x v="2"/>
    <n v="56042"/>
    <n v="55636"/>
    <n v="108"/>
    <n v="0.97"/>
    <n v="6.29"/>
    <n v="1.2"/>
    <n v="4"/>
    <x v="275"/>
    <x v="0"/>
    <n v="56714.504000000001"/>
  </r>
  <r>
    <x v="6"/>
    <x v="10"/>
    <x v="4"/>
    <x v="7"/>
    <s v="SUV"/>
    <x v="1"/>
    <n v="78894"/>
    <n v="311578"/>
    <n v="368"/>
    <n v="0.97"/>
    <n v="6.29"/>
    <n v="1.2"/>
    <n v="7"/>
    <x v="276"/>
    <x v="0"/>
    <n v="79840.728000000003"/>
  </r>
  <r>
    <x v="0"/>
    <x v="0"/>
    <x v="4"/>
    <x v="8"/>
    <s v="Electric"/>
    <x v="1"/>
    <n v="41869"/>
    <n v="389273"/>
    <n v="11"/>
    <n v="0.97"/>
    <n v="6.29"/>
    <n v="1.2"/>
    <n v="10"/>
    <x v="159"/>
    <x v="0"/>
    <n v="42371.428"/>
  </r>
  <r>
    <x v="4"/>
    <x v="2"/>
    <x v="5"/>
    <x v="2"/>
    <s v="Electric"/>
    <x v="2"/>
    <n v="96078"/>
    <n v="446108"/>
    <n v="252"/>
    <n v="0.97"/>
    <n v="6.29"/>
    <n v="1.2"/>
    <n v="6"/>
    <x v="92"/>
    <x v="0"/>
    <n v="97230.936000000002"/>
  </r>
  <r>
    <x v="0"/>
    <x v="1"/>
    <x v="4"/>
    <x v="7"/>
    <s v="Electric"/>
    <x v="2"/>
    <n v="91759"/>
    <n v="333816"/>
    <n v="306"/>
    <n v="0.97"/>
    <n v="6.29"/>
    <n v="1.2"/>
    <n v="6"/>
    <x v="277"/>
    <x v="0"/>
    <n v="92860.108000000007"/>
  </r>
  <r>
    <x v="4"/>
    <x v="9"/>
    <x v="7"/>
    <x v="0"/>
    <s v="SUV"/>
    <x v="2"/>
    <n v="79306"/>
    <n v="317956"/>
    <n v="220"/>
    <n v="0.97"/>
    <n v="6.29"/>
    <n v="1.2"/>
    <n v="9"/>
    <x v="278"/>
    <x v="0"/>
    <n v="80257.672000000006"/>
  </r>
  <r>
    <x v="5"/>
    <x v="1"/>
    <x v="6"/>
    <x v="5"/>
    <s v="Electric"/>
    <x v="2"/>
    <n v="90371"/>
    <n v="277693"/>
    <n v="132"/>
    <n v="0.97"/>
    <n v="6.29"/>
    <n v="1.2"/>
    <n v="2"/>
    <x v="279"/>
    <x v="2"/>
    <n v="90371"/>
  </r>
  <r>
    <x v="7"/>
    <x v="5"/>
    <x v="2"/>
    <x v="7"/>
    <s v="Electric"/>
    <x v="2"/>
    <n v="55918"/>
    <n v="50654"/>
    <n v="238"/>
    <n v="0.97"/>
    <n v="6.29"/>
    <n v="1.2"/>
    <n v="4"/>
    <x v="280"/>
    <x v="0"/>
    <n v="56589.016000000003"/>
  </r>
  <r>
    <x v="9"/>
    <x v="0"/>
    <x v="7"/>
    <x v="3"/>
    <s v="SUV"/>
    <x v="2"/>
    <n v="63379"/>
    <n v="104633"/>
    <n v="91"/>
    <n v="0.97"/>
    <n v="6.29"/>
    <n v="1.2"/>
    <n v="5"/>
    <x v="281"/>
    <x v="0"/>
    <n v="64139.548000000003"/>
  </r>
  <r>
    <x v="2"/>
    <x v="10"/>
    <x v="7"/>
    <x v="1"/>
    <s v="Electric"/>
    <x v="1"/>
    <n v="118232"/>
    <n v="67143"/>
    <n v="153"/>
    <n v="0.97"/>
    <n v="6.29"/>
    <n v="1.2"/>
    <n v="1"/>
    <x v="282"/>
    <x v="2"/>
    <n v="118232"/>
  </r>
  <r>
    <x v="4"/>
    <x v="5"/>
    <x v="0"/>
    <x v="0"/>
    <s v="SUV"/>
    <x v="2"/>
    <n v="37962"/>
    <n v="105934"/>
    <n v="397"/>
    <n v="0.97"/>
    <n v="6.29"/>
    <n v="1.2"/>
    <n v="8"/>
    <x v="283"/>
    <x v="0"/>
    <n v="38417.544000000002"/>
  </r>
  <r>
    <x v="0"/>
    <x v="8"/>
    <x v="2"/>
    <x v="6"/>
    <s v="Electric"/>
    <x v="0"/>
    <n v="48851"/>
    <n v="379478"/>
    <n v="149"/>
    <n v="0.97"/>
    <n v="6.29"/>
    <n v="1.2"/>
    <n v="8"/>
    <x v="165"/>
    <x v="0"/>
    <n v="49437.212"/>
  </r>
  <r>
    <x v="9"/>
    <x v="8"/>
    <x v="9"/>
    <x v="6"/>
    <s v="Sedan"/>
    <x v="2"/>
    <n v="80747"/>
    <n v="153463"/>
    <n v="38"/>
    <n v="0.97"/>
    <n v="6.29"/>
    <n v="1.2"/>
    <n v="6"/>
    <x v="284"/>
    <x v="0"/>
    <n v="81715.964000000007"/>
  </r>
  <r>
    <x v="1"/>
    <x v="1"/>
    <x v="4"/>
    <x v="6"/>
    <s v="Sedan"/>
    <x v="2"/>
    <n v="87349"/>
    <n v="175851"/>
    <n v="279"/>
    <n v="0.97"/>
    <n v="6.29"/>
    <n v="1.2"/>
    <n v="5"/>
    <x v="285"/>
    <x v="0"/>
    <n v="88397.187999999995"/>
  </r>
  <r>
    <x v="1"/>
    <x v="7"/>
    <x v="2"/>
    <x v="6"/>
    <s v="Electric"/>
    <x v="1"/>
    <n v="105832"/>
    <n v="79087"/>
    <n v="256"/>
    <n v="0.97"/>
    <n v="6.29"/>
    <n v="1.2"/>
    <n v="8"/>
    <x v="286"/>
    <x v="0"/>
    <n v="107101.984"/>
  </r>
  <r>
    <x v="8"/>
    <x v="11"/>
    <x v="4"/>
    <x v="1"/>
    <s v="Sedan"/>
    <x v="1"/>
    <n v="91356"/>
    <n v="192690"/>
    <n v="21"/>
    <n v="0.97"/>
    <n v="6.29"/>
    <n v="1.2"/>
    <n v="3"/>
    <x v="287"/>
    <x v="0"/>
    <n v="92452.271999999997"/>
  </r>
  <r>
    <x v="2"/>
    <x v="7"/>
    <x v="5"/>
    <x v="7"/>
    <s v="SUV"/>
    <x v="2"/>
    <n v="49745"/>
    <n v="320590"/>
    <n v="364"/>
    <n v="0.97"/>
    <n v="6.29"/>
    <n v="1.2"/>
    <n v="3"/>
    <x v="288"/>
    <x v="0"/>
    <n v="50341.94"/>
  </r>
  <r>
    <x v="5"/>
    <x v="2"/>
    <x v="2"/>
    <x v="4"/>
    <s v="Sedan"/>
    <x v="1"/>
    <n v="40730"/>
    <n v="414271"/>
    <n v="398"/>
    <n v="0.97"/>
    <n v="6.29"/>
    <n v="1.2"/>
    <n v="2"/>
    <x v="289"/>
    <x v="1"/>
    <n v="36657"/>
  </r>
  <r>
    <x v="0"/>
    <x v="3"/>
    <x v="4"/>
    <x v="7"/>
    <s v="Electric"/>
    <x v="3"/>
    <n v="48921"/>
    <n v="361011"/>
    <n v="346"/>
    <n v="0.97"/>
    <n v="6.29"/>
    <n v="1.2"/>
    <n v="5"/>
    <x v="290"/>
    <x v="0"/>
    <n v="49508.052000000003"/>
  </r>
  <r>
    <x v="7"/>
    <x v="6"/>
    <x v="9"/>
    <x v="8"/>
    <s v="Electric"/>
    <x v="1"/>
    <n v="106138"/>
    <n v="494244"/>
    <n v="115"/>
    <n v="0.97"/>
    <n v="6.29"/>
    <n v="1.2"/>
    <n v="3"/>
    <x v="272"/>
    <x v="0"/>
    <n v="107411.656"/>
  </r>
  <r>
    <x v="7"/>
    <x v="7"/>
    <x v="1"/>
    <x v="5"/>
    <s v="SUV"/>
    <x v="1"/>
    <n v="118111"/>
    <n v="372245"/>
    <n v="41"/>
    <n v="0.97"/>
    <n v="6.29"/>
    <n v="1.2"/>
    <n v="3"/>
    <x v="291"/>
    <x v="0"/>
    <n v="119528.33199999999"/>
  </r>
  <r>
    <x v="0"/>
    <x v="6"/>
    <x v="3"/>
    <x v="2"/>
    <s v="Electric"/>
    <x v="1"/>
    <n v="54023"/>
    <n v="208272"/>
    <n v="83"/>
    <n v="0.97"/>
    <n v="6.29"/>
    <n v="1.2"/>
    <n v="6"/>
    <x v="292"/>
    <x v="0"/>
    <n v="54671.275999999998"/>
  </r>
  <r>
    <x v="6"/>
    <x v="6"/>
    <x v="3"/>
    <x v="4"/>
    <s v="SUV"/>
    <x v="1"/>
    <n v="80349"/>
    <n v="276179"/>
    <n v="180"/>
    <n v="0.97"/>
    <n v="6.29"/>
    <n v="1.2"/>
    <n v="8"/>
    <x v="293"/>
    <x v="0"/>
    <n v="81313.187999999995"/>
  </r>
  <r>
    <x v="5"/>
    <x v="10"/>
    <x v="9"/>
    <x v="4"/>
    <s v="Sedan"/>
    <x v="0"/>
    <n v="116533"/>
    <n v="400218"/>
    <n v="346"/>
    <n v="0.97"/>
    <n v="6.29"/>
    <n v="1.2"/>
    <n v="2"/>
    <x v="294"/>
    <x v="1"/>
    <n v="104879.7"/>
  </r>
  <r>
    <x v="9"/>
    <x v="0"/>
    <x v="0"/>
    <x v="7"/>
    <s v="Sedan"/>
    <x v="0"/>
    <n v="118286"/>
    <n v="242537"/>
    <n v="78"/>
    <n v="0.97"/>
    <n v="6.29"/>
    <n v="1.2"/>
    <n v="4"/>
    <x v="117"/>
    <x v="0"/>
    <n v="119705.432"/>
  </r>
  <r>
    <x v="4"/>
    <x v="10"/>
    <x v="1"/>
    <x v="4"/>
    <s v="SUV"/>
    <x v="0"/>
    <n v="76979"/>
    <n v="267508"/>
    <n v="310"/>
    <n v="0.97"/>
    <n v="6.29"/>
    <n v="1.2"/>
    <n v="7"/>
    <x v="92"/>
    <x v="0"/>
    <n v="77902.748000000007"/>
  </r>
  <r>
    <x v="6"/>
    <x v="6"/>
    <x v="5"/>
    <x v="9"/>
    <s v="SUV"/>
    <x v="2"/>
    <n v="57837"/>
    <n v="168422"/>
    <n v="371"/>
    <n v="0.97"/>
    <n v="6.29"/>
    <n v="1.2"/>
    <n v="1"/>
    <x v="218"/>
    <x v="2"/>
    <n v="57837"/>
  </r>
  <r>
    <x v="4"/>
    <x v="5"/>
    <x v="9"/>
    <x v="9"/>
    <s v="Electric"/>
    <x v="2"/>
    <n v="49997"/>
    <n v="400036"/>
    <n v="146"/>
    <n v="0.97"/>
    <n v="6.29"/>
    <n v="1.2"/>
    <n v="1"/>
    <x v="151"/>
    <x v="1"/>
    <n v="44997.3"/>
  </r>
  <r>
    <x v="4"/>
    <x v="8"/>
    <x v="3"/>
    <x v="8"/>
    <s v="Sedan"/>
    <x v="3"/>
    <n v="80039"/>
    <n v="269631"/>
    <n v="109"/>
    <n v="0.97"/>
    <n v="6.29"/>
    <n v="1.2"/>
    <n v="10"/>
    <x v="193"/>
    <x v="0"/>
    <n v="80999.468000000008"/>
  </r>
  <r>
    <x v="6"/>
    <x v="6"/>
    <x v="3"/>
    <x v="2"/>
    <s v="SUV"/>
    <x v="0"/>
    <n v="55923"/>
    <n v="432188"/>
    <n v="155"/>
    <n v="0.97"/>
    <n v="6.29"/>
    <n v="1.2"/>
    <n v="7"/>
    <x v="295"/>
    <x v="0"/>
    <n v="56594.076000000001"/>
  </r>
  <r>
    <x v="8"/>
    <x v="10"/>
    <x v="3"/>
    <x v="3"/>
    <s v="Sedan"/>
    <x v="2"/>
    <n v="43876"/>
    <n v="89148"/>
    <n v="18"/>
    <n v="0.97"/>
    <n v="6.29"/>
    <n v="1.2"/>
    <n v="7"/>
    <x v="296"/>
    <x v="0"/>
    <n v="44402.512000000002"/>
  </r>
  <r>
    <x v="1"/>
    <x v="5"/>
    <x v="8"/>
    <x v="1"/>
    <s v="SUV"/>
    <x v="1"/>
    <n v="95973"/>
    <n v="395072"/>
    <n v="71"/>
    <n v="0.97"/>
    <n v="6.29"/>
    <n v="1.2"/>
    <n v="1"/>
    <x v="171"/>
    <x v="1"/>
    <n v="86375.7"/>
  </r>
  <r>
    <x v="4"/>
    <x v="10"/>
    <x v="9"/>
    <x v="7"/>
    <s v="Sedan"/>
    <x v="1"/>
    <n v="37887"/>
    <n v="201770"/>
    <n v="194"/>
    <n v="0.97"/>
    <n v="6.29"/>
    <n v="1.2"/>
    <n v="1"/>
    <x v="297"/>
    <x v="2"/>
    <n v="37887"/>
  </r>
  <r>
    <x v="6"/>
    <x v="7"/>
    <x v="7"/>
    <x v="1"/>
    <s v="Electric"/>
    <x v="0"/>
    <n v="98723"/>
    <n v="485686"/>
    <n v="38"/>
    <n v="0.97"/>
    <n v="6.29"/>
    <n v="1.2"/>
    <n v="4"/>
    <x v="298"/>
    <x v="0"/>
    <n v="99907.676000000007"/>
  </r>
  <r>
    <x v="6"/>
    <x v="9"/>
    <x v="5"/>
    <x v="3"/>
    <s v="Sedan"/>
    <x v="3"/>
    <n v="77422"/>
    <n v="363804"/>
    <n v="390"/>
    <n v="0.97"/>
    <n v="6.29"/>
    <n v="1.2"/>
    <n v="5"/>
    <x v="299"/>
    <x v="0"/>
    <n v="78351.063999999998"/>
  </r>
  <r>
    <x v="3"/>
    <x v="1"/>
    <x v="3"/>
    <x v="7"/>
    <s v="Sedan"/>
    <x v="3"/>
    <n v="86413"/>
    <n v="497126"/>
    <n v="123"/>
    <n v="0.97"/>
    <n v="6.29"/>
    <n v="1.2"/>
    <n v="5"/>
    <x v="58"/>
    <x v="0"/>
    <n v="87449.956000000006"/>
  </r>
  <r>
    <x v="8"/>
    <x v="11"/>
    <x v="4"/>
    <x v="7"/>
    <s v="Sedan"/>
    <x v="1"/>
    <n v="37841"/>
    <n v="347594"/>
    <n v="152"/>
    <n v="0.97"/>
    <n v="6.29"/>
    <n v="1.2"/>
    <n v="4"/>
    <x v="300"/>
    <x v="0"/>
    <n v="38295.091999999997"/>
  </r>
  <r>
    <x v="2"/>
    <x v="3"/>
    <x v="9"/>
    <x v="2"/>
    <s v="Sedan"/>
    <x v="3"/>
    <n v="63756"/>
    <n v="237535"/>
    <n v="399"/>
    <n v="0.97"/>
    <n v="6.29"/>
    <n v="1.2"/>
    <n v="8"/>
    <x v="301"/>
    <x v="0"/>
    <n v="64521.072"/>
  </r>
  <r>
    <x v="3"/>
    <x v="10"/>
    <x v="8"/>
    <x v="1"/>
    <s v="Sedan"/>
    <x v="0"/>
    <n v="106576"/>
    <n v="345901"/>
    <n v="129"/>
    <n v="0.97"/>
    <n v="6.29"/>
    <n v="1.2"/>
    <n v="7"/>
    <x v="302"/>
    <x v="0"/>
    <n v="107854.912"/>
  </r>
  <r>
    <x v="3"/>
    <x v="11"/>
    <x v="9"/>
    <x v="9"/>
    <s v="Electric"/>
    <x v="1"/>
    <n v="45304"/>
    <n v="128012"/>
    <n v="179"/>
    <n v="0.97"/>
    <n v="6.29"/>
    <n v="1.2"/>
    <n v="9"/>
    <x v="303"/>
    <x v="0"/>
    <n v="45847.648000000001"/>
  </r>
  <r>
    <x v="0"/>
    <x v="4"/>
    <x v="5"/>
    <x v="6"/>
    <s v="SUV"/>
    <x v="2"/>
    <n v="65341"/>
    <n v="418894"/>
    <n v="166"/>
    <n v="0.97"/>
    <n v="6.29"/>
    <n v="1.2"/>
    <n v="7"/>
    <x v="3"/>
    <x v="0"/>
    <n v="66125.092000000004"/>
  </r>
  <r>
    <x v="1"/>
    <x v="10"/>
    <x v="8"/>
    <x v="1"/>
    <s v="Sedan"/>
    <x v="2"/>
    <n v="39758"/>
    <n v="439187"/>
    <n v="344"/>
    <n v="0.97"/>
    <n v="6.29"/>
    <n v="1.2"/>
    <n v="10"/>
    <x v="304"/>
    <x v="0"/>
    <n v="40235.095999999998"/>
  </r>
  <r>
    <x v="6"/>
    <x v="9"/>
    <x v="5"/>
    <x v="5"/>
    <s v="Electric"/>
    <x v="3"/>
    <n v="52010"/>
    <n v="474606"/>
    <n v="358"/>
    <n v="0.97"/>
    <n v="6.29"/>
    <n v="1.2"/>
    <n v="1"/>
    <x v="305"/>
    <x v="1"/>
    <n v="46809"/>
  </r>
  <r>
    <x v="1"/>
    <x v="11"/>
    <x v="9"/>
    <x v="5"/>
    <s v="Sedan"/>
    <x v="1"/>
    <n v="95758"/>
    <n v="106116"/>
    <n v="269"/>
    <n v="0.97"/>
    <n v="6.29"/>
    <n v="1.2"/>
    <n v="7"/>
    <x v="14"/>
    <x v="0"/>
    <n v="96907.096000000005"/>
  </r>
  <r>
    <x v="5"/>
    <x v="3"/>
    <x v="7"/>
    <x v="7"/>
    <s v="Sedan"/>
    <x v="1"/>
    <n v="66658"/>
    <n v="194233"/>
    <n v="91"/>
    <n v="0.97"/>
    <n v="6.29"/>
    <n v="1.2"/>
    <n v="1"/>
    <x v="306"/>
    <x v="2"/>
    <n v="66658"/>
  </r>
  <r>
    <x v="0"/>
    <x v="6"/>
    <x v="5"/>
    <x v="6"/>
    <s v="SUV"/>
    <x v="2"/>
    <n v="84002"/>
    <n v="82152"/>
    <n v="251"/>
    <n v="0.97"/>
    <n v="6.29"/>
    <n v="1.2"/>
    <n v="7"/>
    <x v="307"/>
    <x v="0"/>
    <n v="85010.024000000005"/>
  </r>
  <r>
    <x v="2"/>
    <x v="10"/>
    <x v="8"/>
    <x v="0"/>
    <s v="Sedan"/>
    <x v="1"/>
    <n v="36375"/>
    <n v="156379"/>
    <n v="181"/>
    <n v="0.97"/>
    <n v="6.29"/>
    <n v="1.2"/>
    <n v="10"/>
    <x v="308"/>
    <x v="0"/>
    <n v="36811.5"/>
  </r>
  <r>
    <x v="1"/>
    <x v="0"/>
    <x v="8"/>
    <x v="3"/>
    <s v="Electric"/>
    <x v="1"/>
    <n v="57092"/>
    <n v="276905"/>
    <n v="240"/>
    <n v="0.97"/>
    <n v="6.29"/>
    <n v="1.2"/>
    <n v="8"/>
    <x v="309"/>
    <x v="0"/>
    <n v="57777.103999999999"/>
  </r>
  <r>
    <x v="7"/>
    <x v="1"/>
    <x v="5"/>
    <x v="8"/>
    <s v="Electric"/>
    <x v="1"/>
    <n v="35490"/>
    <n v="70836"/>
    <n v="217"/>
    <n v="0.97"/>
    <n v="6.29"/>
    <n v="1.2"/>
    <n v="9"/>
    <x v="216"/>
    <x v="0"/>
    <n v="35915.879999999997"/>
  </r>
  <r>
    <x v="4"/>
    <x v="9"/>
    <x v="6"/>
    <x v="6"/>
    <s v="SUV"/>
    <x v="3"/>
    <n v="38729"/>
    <n v="271439"/>
    <n v="84"/>
    <n v="0.97"/>
    <n v="6.29"/>
    <n v="1.2"/>
    <n v="3"/>
    <x v="310"/>
    <x v="0"/>
    <n v="39193.748"/>
  </r>
  <r>
    <x v="5"/>
    <x v="2"/>
    <x v="9"/>
    <x v="8"/>
    <s v="Sedan"/>
    <x v="1"/>
    <n v="40974"/>
    <n v="236720"/>
    <n v="279"/>
    <n v="0.97"/>
    <n v="6.29"/>
    <n v="1.2"/>
    <n v="4"/>
    <x v="311"/>
    <x v="0"/>
    <n v="41465.688000000002"/>
  </r>
  <r>
    <x v="8"/>
    <x v="2"/>
    <x v="6"/>
    <x v="1"/>
    <s v="Electric"/>
    <x v="0"/>
    <n v="118860"/>
    <n v="207403"/>
    <n v="396"/>
    <n v="0.97"/>
    <n v="6.29"/>
    <n v="1.2"/>
    <n v="4"/>
    <x v="312"/>
    <x v="0"/>
    <n v="120286.32"/>
  </r>
  <r>
    <x v="2"/>
    <x v="11"/>
    <x v="0"/>
    <x v="1"/>
    <s v="Sedan"/>
    <x v="3"/>
    <n v="56398"/>
    <n v="191835"/>
    <n v="123"/>
    <n v="0.97"/>
    <n v="6.29"/>
    <n v="1.2"/>
    <n v="9"/>
    <x v="313"/>
    <x v="0"/>
    <n v="57074.775999999998"/>
  </r>
  <r>
    <x v="5"/>
    <x v="9"/>
    <x v="9"/>
    <x v="8"/>
    <s v="Sedan"/>
    <x v="1"/>
    <n v="69650"/>
    <n v="381588"/>
    <n v="71"/>
    <n v="0.97"/>
    <n v="6.29"/>
    <n v="1.2"/>
    <n v="7"/>
    <x v="244"/>
    <x v="0"/>
    <n v="70485.8"/>
  </r>
  <r>
    <x v="4"/>
    <x v="5"/>
    <x v="5"/>
    <x v="3"/>
    <s v="Sedan"/>
    <x v="1"/>
    <n v="56292"/>
    <n v="143109"/>
    <n v="371"/>
    <n v="0.97"/>
    <n v="6.29"/>
    <n v="1.2"/>
    <n v="3"/>
    <x v="314"/>
    <x v="0"/>
    <n v="56967.504000000001"/>
  </r>
  <r>
    <x v="0"/>
    <x v="3"/>
    <x v="1"/>
    <x v="6"/>
    <s v="SUV"/>
    <x v="0"/>
    <n v="38159"/>
    <n v="200259"/>
    <n v="329"/>
    <n v="0.97"/>
    <n v="6.29"/>
    <n v="1.2"/>
    <n v="10"/>
    <x v="315"/>
    <x v="0"/>
    <n v="38616.908000000003"/>
  </r>
  <r>
    <x v="4"/>
    <x v="1"/>
    <x v="5"/>
    <x v="0"/>
    <s v="Sedan"/>
    <x v="3"/>
    <n v="97766"/>
    <n v="193029"/>
    <n v="111"/>
    <n v="0.97"/>
    <n v="6.29"/>
    <n v="1.2"/>
    <n v="5"/>
    <x v="306"/>
    <x v="0"/>
    <n v="98939.191999999995"/>
  </r>
  <r>
    <x v="3"/>
    <x v="6"/>
    <x v="6"/>
    <x v="7"/>
    <s v="Electric"/>
    <x v="2"/>
    <n v="52065"/>
    <n v="447595"/>
    <n v="371"/>
    <n v="0.97"/>
    <n v="6.29"/>
    <n v="1.2"/>
    <n v="7"/>
    <x v="316"/>
    <x v="0"/>
    <n v="52689.78"/>
  </r>
  <r>
    <x v="4"/>
    <x v="10"/>
    <x v="7"/>
    <x v="2"/>
    <s v="Sedan"/>
    <x v="2"/>
    <n v="56638"/>
    <n v="471175"/>
    <n v="219"/>
    <n v="0.97"/>
    <n v="6.29"/>
    <n v="1.2"/>
    <n v="8"/>
    <x v="176"/>
    <x v="0"/>
    <n v="57317.656000000003"/>
  </r>
  <r>
    <x v="3"/>
    <x v="10"/>
    <x v="5"/>
    <x v="1"/>
    <s v="Electric"/>
    <x v="3"/>
    <n v="36073"/>
    <n v="132018"/>
    <n v="264"/>
    <n v="0.97"/>
    <n v="6.29"/>
    <n v="1.2"/>
    <n v="1"/>
    <x v="94"/>
    <x v="2"/>
    <n v="36073"/>
  </r>
  <r>
    <x v="0"/>
    <x v="2"/>
    <x v="5"/>
    <x v="5"/>
    <s v="Sedan"/>
    <x v="1"/>
    <n v="81511"/>
    <n v="173076"/>
    <n v="29"/>
    <n v="0.97"/>
    <n v="6.29"/>
    <n v="1.2"/>
    <n v="2"/>
    <x v="317"/>
    <x v="2"/>
    <n v="81511"/>
  </r>
  <r>
    <x v="9"/>
    <x v="10"/>
    <x v="7"/>
    <x v="3"/>
    <s v="Electric"/>
    <x v="1"/>
    <n v="119307"/>
    <n v="208177"/>
    <n v="67"/>
    <n v="0.97"/>
    <n v="6.29"/>
    <n v="1.2"/>
    <n v="7"/>
    <x v="318"/>
    <x v="0"/>
    <n v="120738.68400000001"/>
  </r>
  <r>
    <x v="3"/>
    <x v="1"/>
    <x v="5"/>
    <x v="2"/>
    <s v="Electric"/>
    <x v="2"/>
    <n v="64320"/>
    <n v="444093"/>
    <n v="121"/>
    <n v="0.97"/>
    <n v="6.29"/>
    <n v="1.2"/>
    <n v="2"/>
    <x v="319"/>
    <x v="1"/>
    <n v="57888"/>
  </r>
  <r>
    <x v="8"/>
    <x v="0"/>
    <x v="3"/>
    <x v="0"/>
    <s v="Sedan"/>
    <x v="2"/>
    <n v="104876"/>
    <n v="229425"/>
    <n v="322"/>
    <n v="0.97"/>
    <n v="6.29"/>
    <n v="1.2"/>
    <n v="7"/>
    <x v="248"/>
    <x v="0"/>
    <n v="106134.512"/>
  </r>
  <r>
    <x v="4"/>
    <x v="4"/>
    <x v="1"/>
    <x v="4"/>
    <s v="Sedan"/>
    <x v="2"/>
    <n v="69924"/>
    <n v="395932"/>
    <n v="205"/>
    <n v="0.97"/>
    <n v="6.29"/>
    <n v="1.2"/>
    <n v="9"/>
    <x v="82"/>
    <x v="0"/>
    <n v="70763.088000000003"/>
  </r>
  <r>
    <x v="4"/>
    <x v="8"/>
    <x v="4"/>
    <x v="7"/>
    <s v="Electric"/>
    <x v="0"/>
    <n v="116720"/>
    <n v="409014"/>
    <n v="384"/>
    <n v="0.97"/>
    <n v="6.29"/>
    <n v="1.2"/>
    <n v="2"/>
    <x v="320"/>
    <x v="1"/>
    <n v="105048"/>
  </r>
  <r>
    <x v="8"/>
    <x v="7"/>
    <x v="1"/>
    <x v="1"/>
    <s v="SUV"/>
    <x v="2"/>
    <n v="75734"/>
    <n v="265657"/>
    <n v="362"/>
    <n v="0.97"/>
    <n v="6.29"/>
    <n v="1.2"/>
    <n v="7"/>
    <x v="267"/>
    <x v="0"/>
    <n v="76642.808000000005"/>
  </r>
  <r>
    <x v="7"/>
    <x v="11"/>
    <x v="5"/>
    <x v="7"/>
    <s v="Sedan"/>
    <x v="0"/>
    <n v="103116"/>
    <n v="395452"/>
    <n v="101"/>
    <n v="0.97"/>
    <n v="6.29"/>
    <n v="1.2"/>
    <n v="4"/>
    <x v="321"/>
    <x v="0"/>
    <n v="104353.39200000001"/>
  </r>
  <r>
    <x v="6"/>
    <x v="0"/>
    <x v="3"/>
    <x v="2"/>
    <s v="SUV"/>
    <x v="3"/>
    <n v="75025"/>
    <n v="494783"/>
    <n v="61"/>
    <n v="0.97"/>
    <n v="6.29"/>
    <n v="1.2"/>
    <n v="2"/>
    <x v="322"/>
    <x v="1"/>
    <n v="67522.5"/>
  </r>
  <r>
    <x v="9"/>
    <x v="6"/>
    <x v="9"/>
    <x v="7"/>
    <s v="Sedan"/>
    <x v="1"/>
    <n v="37159"/>
    <n v="370057"/>
    <n v="302"/>
    <n v="0.97"/>
    <n v="6.29"/>
    <n v="1.2"/>
    <n v="7"/>
    <x v="323"/>
    <x v="0"/>
    <n v="37604.908000000003"/>
  </r>
  <r>
    <x v="2"/>
    <x v="2"/>
    <x v="5"/>
    <x v="4"/>
    <s v="Sedan"/>
    <x v="2"/>
    <n v="83940"/>
    <n v="52637"/>
    <n v="17"/>
    <n v="0.97"/>
    <n v="6.29"/>
    <n v="1.2"/>
    <n v="5"/>
    <x v="166"/>
    <x v="0"/>
    <n v="84947.28"/>
  </r>
  <r>
    <x v="3"/>
    <x v="11"/>
    <x v="6"/>
    <x v="2"/>
    <s v="Sedan"/>
    <x v="1"/>
    <n v="114436"/>
    <n v="354169"/>
    <n v="309"/>
    <n v="0.97"/>
    <n v="6.29"/>
    <n v="1.2"/>
    <n v="1"/>
    <x v="3"/>
    <x v="1"/>
    <n v="102992.40000000001"/>
  </r>
  <r>
    <x v="8"/>
    <x v="10"/>
    <x v="3"/>
    <x v="1"/>
    <s v="Sedan"/>
    <x v="1"/>
    <n v="111976"/>
    <n v="287989"/>
    <n v="107"/>
    <n v="0.97"/>
    <n v="6.29"/>
    <n v="1.2"/>
    <n v="5"/>
    <x v="275"/>
    <x v="0"/>
    <n v="113319.712"/>
  </r>
  <r>
    <x v="0"/>
    <x v="9"/>
    <x v="7"/>
    <x v="6"/>
    <s v="SUV"/>
    <x v="2"/>
    <n v="49678"/>
    <n v="282259"/>
    <n v="245"/>
    <n v="0.97"/>
    <n v="6.29"/>
    <n v="1.2"/>
    <n v="3"/>
    <x v="324"/>
    <x v="0"/>
    <n v="50274.135999999999"/>
  </r>
  <r>
    <x v="3"/>
    <x v="6"/>
    <x v="3"/>
    <x v="5"/>
    <s v="Sedan"/>
    <x v="2"/>
    <n v="96075"/>
    <n v="411652"/>
    <n v="398"/>
    <n v="0.97"/>
    <n v="6.29"/>
    <n v="1.2"/>
    <n v="7"/>
    <x v="325"/>
    <x v="0"/>
    <n v="97227.9"/>
  </r>
  <r>
    <x v="6"/>
    <x v="11"/>
    <x v="7"/>
    <x v="2"/>
    <s v="Electric"/>
    <x v="3"/>
    <n v="82204"/>
    <n v="132464"/>
    <n v="383"/>
    <n v="0.97"/>
    <n v="6.29"/>
    <n v="1.2"/>
    <n v="6"/>
    <x v="326"/>
    <x v="0"/>
    <n v="83190.448000000004"/>
  </r>
  <r>
    <x v="0"/>
    <x v="3"/>
    <x v="0"/>
    <x v="9"/>
    <s v="Electric"/>
    <x v="0"/>
    <n v="47021"/>
    <n v="340886"/>
    <n v="78"/>
    <n v="0.97"/>
    <n v="6.29"/>
    <n v="1.2"/>
    <n v="8"/>
    <x v="327"/>
    <x v="0"/>
    <n v="47585.252"/>
  </r>
  <r>
    <x v="5"/>
    <x v="10"/>
    <x v="4"/>
    <x v="4"/>
    <s v="SUV"/>
    <x v="0"/>
    <n v="41772"/>
    <n v="61831"/>
    <n v="54"/>
    <n v="0.97"/>
    <n v="6.29"/>
    <n v="1.2"/>
    <n v="5"/>
    <x v="249"/>
    <x v="0"/>
    <n v="42273.264000000003"/>
  </r>
  <r>
    <x v="4"/>
    <x v="11"/>
    <x v="2"/>
    <x v="2"/>
    <s v="Sedan"/>
    <x v="1"/>
    <n v="102163"/>
    <n v="163768"/>
    <n v="146"/>
    <n v="0.97"/>
    <n v="6.29"/>
    <n v="1.2"/>
    <n v="2"/>
    <x v="1"/>
    <x v="2"/>
    <n v="102163"/>
  </r>
  <r>
    <x v="5"/>
    <x v="9"/>
    <x v="3"/>
    <x v="2"/>
    <s v="Electric"/>
    <x v="2"/>
    <n v="108755"/>
    <n v="296983"/>
    <n v="243"/>
    <n v="0.97"/>
    <n v="6.29"/>
    <n v="1.2"/>
    <n v="9"/>
    <x v="54"/>
    <x v="0"/>
    <n v="110060.06"/>
  </r>
  <r>
    <x v="3"/>
    <x v="3"/>
    <x v="8"/>
    <x v="9"/>
    <s v="SUV"/>
    <x v="3"/>
    <n v="58464"/>
    <n v="397236"/>
    <n v="41"/>
    <n v="0.97"/>
    <n v="6.29"/>
    <n v="1.2"/>
    <n v="8"/>
    <x v="328"/>
    <x v="0"/>
    <n v="59165.567999999999"/>
  </r>
  <r>
    <x v="6"/>
    <x v="10"/>
    <x v="6"/>
    <x v="1"/>
    <s v="Sedan"/>
    <x v="3"/>
    <n v="86137"/>
    <n v="403023"/>
    <n v="298"/>
    <n v="0.97"/>
    <n v="6.29"/>
    <n v="1.2"/>
    <n v="6"/>
    <x v="329"/>
    <x v="0"/>
    <n v="87170.644"/>
  </r>
  <r>
    <x v="9"/>
    <x v="4"/>
    <x v="5"/>
    <x v="2"/>
    <s v="Electric"/>
    <x v="3"/>
    <n v="65232"/>
    <n v="400514"/>
    <n v="135"/>
    <n v="0.97"/>
    <n v="6.29"/>
    <n v="1.2"/>
    <n v="10"/>
    <x v="330"/>
    <x v="0"/>
    <n v="66014.784"/>
  </r>
  <r>
    <x v="3"/>
    <x v="0"/>
    <x v="6"/>
    <x v="5"/>
    <s v="Electric"/>
    <x v="3"/>
    <n v="96497"/>
    <n v="438681"/>
    <n v="76"/>
    <n v="0.97"/>
    <n v="6.29"/>
    <n v="1.2"/>
    <n v="7"/>
    <x v="255"/>
    <x v="0"/>
    <n v="97654.964000000007"/>
  </r>
  <r>
    <x v="8"/>
    <x v="5"/>
    <x v="1"/>
    <x v="7"/>
    <s v="SUV"/>
    <x v="3"/>
    <n v="109024"/>
    <n v="489978"/>
    <n v="39"/>
    <n v="0.97"/>
    <n v="6.29"/>
    <n v="1.2"/>
    <n v="9"/>
    <x v="331"/>
    <x v="0"/>
    <n v="110332.288"/>
  </r>
  <r>
    <x v="1"/>
    <x v="2"/>
    <x v="2"/>
    <x v="1"/>
    <s v="Sedan"/>
    <x v="0"/>
    <n v="86448"/>
    <n v="154824"/>
    <n v="123"/>
    <n v="0.97"/>
    <n v="6.29"/>
    <n v="1.2"/>
    <n v="7"/>
    <x v="332"/>
    <x v="0"/>
    <n v="87485.376000000004"/>
  </r>
  <r>
    <x v="3"/>
    <x v="7"/>
    <x v="1"/>
    <x v="5"/>
    <s v="Sedan"/>
    <x v="0"/>
    <n v="119517"/>
    <n v="138741"/>
    <n v="213"/>
    <n v="0.97"/>
    <n v="6.29"/>
    <n v="1.2"/>
    <n v="3"/>
    <x v="300"/>
    <x v="0"/>
    <n v="120951.204"/>
  </r>
  <r>
    <x v="4"/>
    <x v="1"/>
    <x v="0"/>
    <x v="1"/>
    <s v="Electric"/>
    <x v="0"/>
    <n v="35901"/>
    <n v="68830"/>
    <n v="38"/>
    <n v="0.97"/>
    <n v="6.29"/>
    <n v="1.2"/>
    <n v="6"/>
    <x v="333"/>
    <x v="0"/>
    <n v="36331.811999999998"/>
  </r>
  <r>
    <x v="4"/>
    <x v="2"/>
    <x v="2"/>
    <x v="5"/>
    <s v="Electric"/>
    <x v="2"/>
    <n v="118597"/>
    <n v="367188"/>
    <n v="140"/>
    <n v="0.97"/>
    <n v="6.29"/>
    <n v="1.2"/>
    <n v="7"/>
    <x v="223"/>
    <x v="0"/>
    <n v="120020.164"/>
  </r>
  <r>
    <x v="3"/>
    <x v="7"/>
    <x v="2"/>
    <x v="4"/>
    <s v="Electric"/>
    <x v="1"/>
    <n v="37881"/>
    <n v="386092"/>
    <n v="194"/>
    <n v="0.97"/>
    <n v="6.29"/>
    <n v="1.2"/>
    <n v="2"/>
    <x v="334"/>
    <x v="1"/>
    <n v="34092.9"/>
  </r>
  <r>
    <x v="0"/>
    <x v="6"/>
    <x v="1"/>
    <x v="5"/>
    <s v="Sedan"/>
    <x v="3"/>
    <n v="64863"/>
    <n v="119202"/>
    <n v="262"/>
    <n v="0.97"/>
    <n v="6.29"/>
    <n v="1.2"/>
    <n v="3"/>
    <x v="335"/>
    <x v="0"/>
    <n v="65641.356"/>
  </r>
  <r>
    <x v="1"/>
    <x v="7"/>
    <x v="7"/>
    <x v="8"/>
    <s v="SUV"/>
    <x v="2"/>
    <n v="40622"/>
    <n v="349189"/>
    <n v="295"/>
    <n v="0.97"/>
    <n v="6.29"/>
    <n v="1.2"/>
    <n v="4"/>
    <x v="336"/>
    <x v="0"/>
    <n v="41109.464"/>
  </r>
  <r>
    <x v="8"/>
    <x v="10"/>
    <x v="1"/>
    <x v="5"/>
    <s v="SUV"/>
    <x v="3"/>
    <n v="36378"/>
    <n v="267394"/>
    <n v="395"/>
    <n v="0.97"/>
    <n v="6.29"/>
    <n v="1.2"/>
    <n v="10"/>
    <x v="337"/>
    <x v="0"/>
    <n v="36814.536"/>
  </r>
  <r>
    <x v="3"/>
    <x v="4"/>
    <x v="6"/>
    <x v="6"/>
    <s v="Sedan"/>
    <x v="0"/>
    <n v="118168"/>
    <n v="252123"/>
    <n v="71"/>
    <n v="0.97"/>
    <n v="6.29"/>
    <n v="1.2"/>
    <n v="6"/>
    <x v="167"/>
    <x v="0"/>
    <n v="119586.016"/>
  </r>
  <r>
    <x v="0"/>
    <x v="5"/>
    <x v="7"/>
    <x v="6"/>
    <s v="SUV"/>
    <x v="2"/>
    <n v="106186"/>
    <n v="419653"/>
    <n v="12"/>
    <n v="0.97"/>
    <n v="6.29"/>
    <n v="1.2"/>
    <n v="1"/>
    <x v="338"/>
    <x v="1"/>
    <n v="95567.400000000009"/>
  </r>
  <r>
    <x v="4"/>
    <x v="0"/>
    <x v="6"/>
    <x v="3"/>
    <s v="Electric"/>
    <x v="0"/>
    <n v="80201"/>
    <n v="207699"/>
    <n v="77"/>
    <n v="0.97"/>
    <n v="6.29"/>
    <n v="1.2"/>
    <n v="9"/>
    <x v="278"/>
    <x v="0"/>
    <n v="81163.411999999997"/>
  </r>
  <r>
    <x v="4"/>
    <x v="0"/>
    <x v="0"/>
    <x v="8"/>
    <s v="SUV"/>
    <x v="3"/>
    <n v="94251"/>
    <n v="327342"/>
    <n v="34"/>
    <n v="0.97"/>
    <n v="6.29"/>
    <n v="1.2"/>
    <n v="5"/>
    <x v="96"/>
    <x v="0"/>
    <n v="95382.012000000002"/>
  </r>
  <r>
    <x v="6"/>
    <x v="9"/>
    <x v="5"/>
    <x v="8"/>
    <s v="SUV"/>
    <x v="3"/>
    <n v="107572"/>
    <n v="381665"/>
    <n v="188"/>
    <n v="0.97"/>
    <n v="6.29"/>
    <n v="1.2"/>
    <n v="7"/>
    <x v="339"/>
    <x v="0"/>
    <n v="108862.864"/>
  </r>
  <r>
    <x v="3"/>
    <x v="1"/>
    <x v="9"/>
    <x v="7"/>
    <s v="SUV"/>
    <x v="1"/>
    <n v="74255"/>
    <n v="156471"/>
    <n v="150"/>
    <n v="0.97"/>
    <n v="6.29"/>
    <n v="1.2"/>
    <n v="9"/>
    <x v="275"/>
    <x v="0"/>
    <n v="75146.06"/>
  </r>
  <r>
    <x v="1"/>
    <x v="11"/>
    <x v="7"/>
    <x v="8"/>
    <s v="Electric"/>
    <x v="3"/>
    <n v="98212"/>
    <n v="341619"/>
    <n v="240"/>
    <n v="0.97"/>
    <n v="6.29"/>
    <n v="1.2"/>
    <n v="9"/>
    <x v="130"/>
    <x v="0"/>
    <n v="99390.543999999994"/>
  </r>
  <r>
    <x v="7"/>
    <x v="4"/>
    <x v="0"/>
    <x v="7"/>
    <s v="Sedan"/>
    <x v="0"/>
    <n v="85210"/>
    <n v="286824"/>
    <n v="309"/>
    <n v="0.97"/>
    <n v="6.29"/>
    <n v="1.2"/>
    <n v="1"/>
    <x v="340"/>
    <x v="2"/>
    <n v="85210"/>
  </r>
  <r>
    <x v="1"/>
    <x v="11"/>
    <x v="8"/>
    <x v="3"/>
    <s v="Electric"/>
    <x v="3"/>
    <n v="57499"/>
    <n v="69403"/>
    <n v="172"/>
    <n v="0.97"/>
    <n v="6.29"/>
    <n v="1.2"/>
    <n v="1"/>
    <x v="341"/>
    <x v="2"/>
    <n v="57499"/>
  </r>
  <r>
    <x v="4"/>
    <x v="5"/>
    <x v="0"/>
    <x v="3"/>
    <s v="Sedan"/>
    <x v="1"/>
    <n v="86628"/>
    <n v="53681"/>
    <n v="320"/>
    <n v="0.97"/>
    <n v="6.29"/>
    <n v="1.2"/>
    <n v="3"/>
    <x v="342"/>
    <x v="0"/>
    <n v="87667.536000000007"/>
  </r>
  <r>
    <x v="4"/>
    <x v="7"/>
    <x v="1"/>
    <x v="4"/>
    <s v="Sedan"/>
    <x v="1"/>
    <n v="96360"/>
    <n v="403699"/>
    <n v="139"/>
    <n v="0.97"/>
    <n v="6.29"/>
    <n v="1.2"/>
    <n v="6"/>
    <x v="238"/>
    <x v="0"/>
    <n v="97516.32"/>
  </r>
  <r>
    <x v="5"/>
    <x v="0"/>
    <x v="1"/>
    <x v="6"/>
    <s v="Sedan"/>
    <x v="0"/>
    <n v="39603"/>
    <n v="431028"/>
    <n v="255"/>
    <n v="0.97"/>
    <n v="6.29"/>
    <n v="1.2"/>
    <n v="2"/>
    <x v="343"/>
    <x v="1"/>
    <n v="35642.700000000004"/>
  </r>
  <r>
    <x v="4"/>
    <x v="5"/>
    <x v="9"/>
    <x v="5"/>
    <s v="SUV"/>
    <x v="2"/>
    <n v="47632"/>
    <n v="405266"/>
    <n v="306"/>
    <n v="0.97"/>
    <n v="6.29"/>
    <n v="1.2"/>
    <n v="10"/>
    <x v="98"/>
    <x v="0"/>
    <n v="48203.584000000003"/>
  </r>
  <r>
    <x v="8"/>
    <x v="7"/>
    <x v="0"/>
    <x v="5"/>
    <s v="SUV"/>
    <x v="3"/>
    <n v="65607"/>
    <n v="165260"/>
    <n v="181"/>
    <n v="0.97"/>
    <n v="6.29"/>
    <n v="1.2"/>
    <n v="1"/>
    <x v="15"/>
    <x v="2"/>
    <n v="65607"/>
  </r>
  <r>
    <x v="2"/>
    <x v="0"/>
    <x v="4"/>
    <x v="9"/>
    <s v="Sedan"/>
    <x v="1"/>
    <n v="100756"/>
    <n v="223364"/>
    <n v="73"/>
    <n v="0.97"/>
    <n v="6.29"/>
    <n v="1.2"/>
    <n v="1"/>
    <x v="300"/>
    <x v="2"/>
    <n v="100756"/>
  </r>
  <r>
    <x v="3"/>
    <x v="7"/>
    <x v="5"/>
    <x v="9"/>
    <s v="Sedan"/>
    <x v="3"/>
    <n v="81994"/>
    <n v="155386"/>
    <n v="40"/>
    <n v="0.97"/>
    <n v="6.29"/>
    <n v="1.2"/>
    <n v="5"/>
    <x v="344"/>
    <x v="0"/>
    <n v="82977.928"/>
  </r>
  <r>
    <x v="1"/>
    <x v="1"/>
    <x v="1"/>
    <x v="0"/>
    <s v="SUV"/>
    <x v="3"/>
    <n v="98382"/>
    <n v="283378"/>
    <n v="56"/>
    <n v="0.97"/>
    <n v="6.29"/>
    <n v="1.2"/>
    <n v="4"/>
    <x v="345"/>
    <x v="0"/>
    <n v="99562.584000000003"/>
  </r>
  <r>
    <x v="2"/>
    <x v="4"/>
    <x v="9"/>
    <x v="1"/>
    <s v="Electric"/>
    <x v="2"/>
    <n v="105354"/>
    <n v="448845"/>
    <n v="139"/>
    <n v="0.97"/>
    <n v="6.29"/>
    <n v="1.2"/>
    <n v="1"/>
    <x v="346"/>
    <x v="1"/>
    <n v="94818.6"/>
  </r>
  <r>
    <x v="0"/>
    <x v="2"/>
    <x v="5"/>
    <x v="4"/>
    <s v="Sedan"/>
    <x v="1"/>
    <n v="91344"/>
    <n v="143246"/>
    <n v="361"/>
    <n v="0.97"/>
    <n v="6.29"/>
    <n v="1.2"/>
    <n v="4"/>
    <x v="347"/>
    <x v="0"/>
    <n v="92440.127999999997"/>
  </r>
  <r>
    <x v="7"/>
    <x v="3"/>
    <x v="0"/>
    <x v="0"/>
    <s v="Electric"/>
    <x v="3"/>
    <n v="88775"/>
    <n v="145864"/>
    <n v="342"/>
    <n v="0.97"/>
    <n v="6.29"/>
    <n v="1.2"/>
    <n v="3"/>
    <x v="348"/>
    <x v="0"/>
    <n v="89840.3"/>
  </r>
  <r>
    <x v="8"/>
    <x v="6"/>
    <x v="0"/>
    <x v="0"/>
    <s v="SUV"/>
    <x v="1"/>
    <n v="42349"/>
    <n v="258886"/>
    <n v="119"/>
    <n v="0.97"/>
    <n v="6.29"/>
    <n v="1.2"/>
    <n v="2"/>
    <x v="349"/>
    <x v="2"/>
    <n v="42349"/>
  </r>
  <r>
    <x v="1"/>
    <x v="5"/>
    <x v="2"/>
    <x v="2"/>
    <s v="Sedan"/>
    <x v="0"/>
    <n v="106154"/>
    <n v="320561"/>
    <n v="78"/>
    <n v="0.97"/>
    <n v="6.29"/>
    <n v="1.2"/>
    <n v="9"/>
    <x v="338"/>
    <x v="0"/>
    <n v="107427.848"/>
  </r>
  <r>
    <x v="2"/>
    <x v="5"/>
    <x v="9"/>
    <x v="2"/>
    <s v="Electric"/>
    <x v="0"/>
    <n v="62464"/>
    <n v="431032"/>
    <n v="67"/>
    <n v="0.97"/>
    <n v="6.29"/>
    <n v="1.2"/>
    <n v="1"/>
    <x v="350"/>
    <x v="1"/>
    <n v="56217.599999999999"/>
  </r>
  <r>
    <x v="7"/>
    <x v="3"/>
    <x v="1"/>
    <x v="0"/>
    <s v="Electric"/>
    <x v="3"/>
    <n v="77624"/>
    <n v="215837"/>
    <n v="115"/>
    <n v="0.97"/>
    <n v="6.29"/>
    <n v="1.2"/>
    <n v="7"/>
    <x v="351"/>
    <x v="0"/>
    <n v="78555.487999999998"/>
  </r>
  <r>
    <x v="5"/>
    <x v="2"/>
    <x v="4"/>
    <x v="8"/>
    <s v="Electric"/>
    <x v="1"/>
    <n v="72344"/>
    <n v="386643"/>
    <n v="309"/>
    <n v="0.97"/>
    <n v="6.29"/>
    <n v="1.2"/>
    <n v="4"/>
    <x v="314"/>
    <x v="0"/>
    <n v="73212.127999999997"/>
  </r>
  <r>
    <x v="8"/>
    <x v="8"/>
    <x v="0"/>
    <x v="1"/>
    <s v="SUV"/>
    <x v="3"/>
    <n v="118791"/>
    <n v="443052"/>
    <n v="339"/>
    <n v="0.97"/>
    <n v="6.29"/>
    <n v="1.2"/>
    <n v="5"/>
    <x v="20"/>
    <x v="0"/>
    <n v="120216.492"/>
  </r>
  <r>
    <x v="8"/>
    <x v="10"/>
    <x v="4"/>
    <x v="4"/>
    <s v="SUV"/>
    <x v="1"/>
    <n v="59299"/>
    <n v="295160"/>
    <n v="265"/>
    <n v="0.97"/>
    <n v="6.29"/>
    <n v="1.2"/>
    <n v="10"/>
    <x v="100"/>
    <x v="0"/>
    <n v="60010.588000000003"/>
  </r>
  <r>
    <x v="5"/>
    <x v="1"/>
    <x v="0"/>
    <x v="0"/>
    <s v="Electric"/>
    <x v="1"/>
    <n v="82975"/>
    <n v="237646"/>
    <n v="321"/>
    <n v="0.97"/>
    <n v="6.29"/>
    <n v="1.2"/>
    <n v="5"/>
    <x v="31"/>
    <x v="0"/>
    <n v="83970.7"/>
  </r>
  <r>
    <x v="3"/>
    <x v="1"/>
    <x v="1"/>
    <x v="5"/>
    <s v="Electric"/>
    <x v="2"/>
    <n v="36462"/>
    <n v="309278"/>
    <n v="180"/>
    <n v="0.97"/>
    <n v="6.29"/>
    <n v="1.2"/>
    <n v="1"/>
    <x v="352"/>
    <x v="1"/>
    <n v="32815.800000000003"/>
  </r>
  <r>
    <x v="5"/>
    <x v="3"/>
    <x v="5"/>
    <x v="1"/>
    <s v="SUV"/>
    <x v="2"/>
    <n v="116441"/>
    <n v="339819"/>
    <n v="392"/>
    <n v="0.97"/>
    <n v="6.29"/>
    <n v="1.2"/>
    <n v="6"/>
    <x v="253"/>
    <x v="0"/>
    <n v="117838.292"/>
  </r>
  <r>
    <x v="8"/>
    <x v="11"/>
    <x v="3"/>
    <x v="2"/>
    <s v="Electric"/>
    <x v="2"/>
    <n v="116788"/>
    <n v="306681"/>
    <n v="171"/>
    <n v="0.97"/>
    <n v="6.29"/>
    <n v="1.2"/>
    <n v="9"/>
    <x v="353"/>
    <x v="0"/>
    <n v="118189.45600000001"/>
  </r>
  <r>
    <x v="8"/>
    <x v="7"/>
    <x v="5"/>
    <x v="5"/>
    <s v="Electric"/>
    <x v="3"/>
    <n v="75581"/>
    <n v="221635"/>
    <n v="295"/>
    <n v="0.97"/>
    <n v="6.29"/>
    <n v="1.2"/>
    <n v="2"/>
    <x v="129"/>
    <x v="2"/>
    <n v="75581"/>
  </r>
  <r>
    <x v="2"/>
    <x v="10"/>
    <x v="0"/>
    <x v="2"/>
    <s v="SUV"/>
    <x v="2"/>
    <n v="106289"/>
    <n v="61332"/>
    <n v="80"/>
    <n v="0.97"/>
    <n v="6.29"/>
    <n v="1.2"/>
    <n v="7"/>
    <x v="256"/>
    <x v="0"/>
    <n v="107564.46800000001"/>
  </r>
  <r>
    <x v="4"/>
    <x v="4"/>
    <x v="6"/>
    <x v="2"/>
    <s v="Electric"/>
    <x v="2"/>
    <n v="49175"/>
    <n v="304817"/>
    <n v="264"/>
    <n v="0.97"/>
    <n v="6.29"/>
    <n v="1.2"/>
    <n v="6"/>
    <x v="354"/>
    <x v="0"/>
    <n v="49765.1"/>
  </r>
  <r>
    <x v="7"/>
    <x v="4"/>
    <x v="3"/>
    <x v="1"/>
    <s v="Electric"/>
    <x v="0"/>
    <n v="41191"/>
    <n v="331321"/>
    <n v="383"/>
    <n v="0.97"/>
    <n v="6.29"/>
    <n v="1.2"/>
    <n v="5"/>
    <x v="355"/>
    <x v="0"/>
    <n v="41685.292000000001"/>
  </r>
  <r>
    <x v="5"/>
    <x v="3"/>
    <x v="3"/>
    <x v="2"/>
    <s v="Electric"/>
    <x v="1"/>
    <n v="118434"/>
    <n v="442704"/>
    <n v="64"/>
    <n v="0.97"/>
    <n v="6.29"/>
    <n v="1.2"/>
    <n v="4"/>
    <x v="356"/>
    <x v="0"/>
    <n v="119855.208"/>
  </r>
  <r>
    <x v="7"/>
    <x v="1"/>
    <x v="4"/>
    <x v="3"/>
    <s v="SUV"/>
    <x v="1"/>
    <n v="119518"/>
    <n v="270326"/>
    <n v="332"/>
    <n v="0.97"/>
    <n v="6.29"/>
    <n v="1.2"/>
    <n v="4"/>
    <x v="65"/>
    <x v="0"/>
    <n v="120952.216"/>
  </r>
  <r>
    <x v="5"/>
    <x v="4"/>
    <x v="9"/>
    <x v="6"/>
    <s v="Electric"/>
    <x v="2"/>
    <n v="115158"/>
    <n v="249519"/>
    <n v="12"/>
    <n v="0.97"/>
    <n v="6.29"/>
    <n v="1.2"/>
    <n v="6"/>
    <x v="357"/>
    <x v="0"/>
    <n v="116539.89600000001"/>
  </r>
  <r>
    <x v="0"/>
    <x v="8"/>
    <x v="4"/>
    <x v="3"/>
    <s v="SUV"/>
    <x v="1"/>
    <n v="101537"/>
    <n v="311849"/>
    <n v="35"/>
    <n v="0.97"/>
    <n v="6.29"/>
    <n v="1.2"/>
    <n v="4"/>
    <x v="358"/>
    <x v="0"/>
    <n v="102755.444"/>
  </r>
  <r>
    <x v="8"/>
    <x v="5"/>
    <x v="4"/>
    <x v="6"/>
    <s v="SUV"/>
    <x v="0"/>
    <n v="82645"/>
    <n v="369248"/>
    <n v="322"/>
    <n v="0.97"/>
    <n v="6.29"/>
    <n v="1.2"/>
    <n v="5"/>
    <x v="10"/>
    <x v="0"/>
    <n v="83636.740000000005"/>
  </r>
  <r>
    <x v="4"/>
    <x v="9"/>
    <x v="6"/>
    <x v="9"/>
    <s v="Sedan"/>
    <x v="0"/>
    <n v="58283"/>
    <n v="396479"/>
    <n v="135"/>
    <n v="0.97"/>
    <n v="6.29"/>
    <n v="1.2"/>
    <n v="6"/>
    <x v="250"/>
    <x v="0"/>
    <n v="58982.396000000001"/>
  </r>
  <r>
    <x v="2"/>
    <x v="6"/>
    <x v="5"/>
    <x v="9"/>
    <s v="Sedan"/>
    <x v="2"/>
    <n v="94123"/>
    <n v="427082"/>
    <n v="62"/>
    <n v="0.97"/>
    <n v="6.29"/>
    <n v="1.2"/>
    <n v="5"/>
    <x v="359"/>
    <x v="0"/>
    <n v="95252.475999999995"/>
  </r>
  <r>
    <x v="4"/>
    <x v="3"/>
    <x v="5"/>
    <x v="2"/>
    <s v="Electric"/>
    <x v="0"/>
    <n v="65024"/>
    <n v="130730"/>
    <n v="207"/>
    <n v="0.97"/>
    <n v="6.29"/>
    <n v="1.2"/>
    <n v="7"/>
    <x v="120"/>
    <x v="0"/>
    <n v="65804.288"/>
  </r>
  <r>
    <x v="4"/>
    <x v="11"/>
    <x v="8"/>
    <x v="4"/>
    <s v="SUV"/>
    <x v="1"/>
    <n v="84630"/>
    <n v="448167"/>
    <n v="308"/>
    <n v="0.97"/>
    <n v="6.29"/>
    <n v="1.2"/>
    <n v="9"/>
    <x v="360"/>
    <x v="0"/>
    <n v="85645.56"/>
  </r>
  <r>
    <x v="4"/>
    <x v="7"/>
    <x v="0"/>
    <x v="4"/>
    <s v="Sedan"/>
    <x v="3"/>
    <n v="65734"/>
    <n v="287474"/>
    <n v="197"/>
    <n v="0.97"/>
    <n v="6.29"/>
    <n v="1.2"/>
    <n v="10"/>
    <x v="361"/>
    <x v="0"/>
    <n v="66522.808000000005"/>
  </r>
  <r>
    <x v="7"/>
    <x v="6"/>
    <x v="6"/>
    <x v="6"/>
    <s v="Electric"/>
    <x v="1"/>
    <n v="35515"/>
    <n v="340477"/>
    <n v="195"/>
    <n v="0.97"/>
    <n v="6.29"/>
    <n v="1.2"/>
    <n v="7"/>
    <x v="362"/>
    <x v="0"/>
    <n v="35941.18"/>
  </r>
  <r>
    <x v="5"/>
    <x v="7"/>
    <x v="8"/>
    <x v="5"/>
    <s v="Sedan"/>
    <x v="3"/>
    <n v="101727"/>
    <n v="333817"/>
    <n v="314"/>
    <n v="0.97"/>
    <n v="6.29"/>
    <n v="1.2"/>
    <n v="7"/>
    <x v="363"/>
    <x v="0"/>
    <n v="102947.724"/>
  </r>
  <r>
    <x v="9"/>
    <x v="0"/>
    <x v="1"/>
    <x v="1"/>
    <s v="Sedan"/>
    <x v="2"/>
    <n v="81216"/>
    <n v="426565"/>
    <n v="307"/>
    <n v="0.97"/>
    <n v="6.29"/>
    <n v="1.2"/>
    <n v="4"/>
    <x v="364"/>
    <x v="0"/>
    <n v="82190.592000000004"/>
  </r>
  <r>
    <x v="0"/>
    <x v="6"/>
    <x v="0"/>
    <x v="2"/>
    <s v="SUV"/>
    <x v="3"/>
    <n v="106833"/>
    <n v="90870"/>
    <n v="213"/>
    <n v="0.97"/>
    <n v="6.29"/>
    <n v="1.2"/>
    <n v="1"/>
    <x v="56"/>
    <x v="2"/>
    <n v="106833"/>
  </r>
  <r>
    <x v="1"/>
    <x v="9"/>
    <x v="0"/>
    <x v="1"/>
    <s v="SUV"/>
    <x v="0"/>
    <n v="93755"/>
    <n v="303017"/>
    <n v="20"/>
    <n v="0.97"/>
    <n v="6.29"/>
    <n v="1.2"/>
    <n v="8"/>
    <x v="365"/>
    <x v="0"/>
    <n v="94880.06"/>
  </r>
  <r>
    <x v="4"/>
    <x v="1"/>
    <x v="2"/>
    <x v="3"/>
    <s v="Sedan"/>
    <x v="1"/>
    <n v="62856"/>
    <n v="177536"/>
    <n v="368"/>
    <n v="0.97"/>
    <n v="6.29"/>
    <n v="1.2"/>
    <n v="4"/>
    <x v="366"/>
    <x v="0"/>
    <n v="63610.271999999997"/>
  </r>
  <r>
    <x v="3"/>
    <x v="8"/>
    <x v="2"/>
    <x v="4"/>
    <s v="Sedan"/>
    <x v="3"/>
    <n v="108870"/>
    <n v="383245"/>
    <n v="363"/>
    <n v="0.97"/>
    <n v="6.29"/>
    <n v="1.2"/>
    <n v="1"/>
    <x v="62"/>
    <x v="1"/>
    <n v="97983"/>
  </r>
  <r>
    <x v="7"/>
    <x v="5"/>
    <x v="7"/>
    <x v="8"/>
    <s v="SUV"/>
    <x v="1"/>
    <n v="59162"/>
    <n v="334965"/>
    <n v="155"/>
    <n v="0.97"/>
    <n v="6.29"/>
    <n v="1.2"/>
    <n v="5"/>
    <x v="193"/>
    <x v="0"/>
    <n v="59871.944000000003"/>
  </r>
  <r>
    <x v="2"/>
    <x v="5"/>
    <x v="7"/>
    <x v="3"/>
    <s v="Electric"/>
    <x v="2"/>
    <n v="41008"/>
    <n v="75494"/>
    <n v="94"/>
    <n v="0.97"/>
    <n v="6.29"/>
    <n v="1.2"/>
    <n v="8"/>
    <x v="258"/>
    <x v="0"/>
    <n v="41500.095999999998"/>
  </r>
  <r>
    <x v="1"/>
    <x v="8"/>
    <x v="4"/>
    <x v="3"/>
    <s v="SUV"/>
    <x v="2"/>
    <n v="42987"/>
    <n v="149477"/>
    <n v="109"/>
    <n v="0.97"/>
    <n v="6.29"/>
    <n v="1.2"/>
    <n v="4"/>
    <x v="367"/>
    <x v="0"/>
    <n v="43502.843999999997"/>
  </r>
  <r>
    <x v="9"/>
    <x v="10"/>
    <x v="1"/>
    <x v="6"/>
    <s v="Sedan"/>
    <x v="0"/>
    <n v="97532"/>
    <n v="438227"/>
    <n v="113"/>
    <n v="0.97"/>
    <n v="6.29"/>
    <n v="1.2"/>
    <n v="8"/>
    <x v="300"/>
    <x v="0"/>
    <n v="98702.384000000005"/>
  </r>
  <r>
    <x v="3"/>
    <x v="0"/>
    <x v="3"/>
    <x v="7"/>
    <s v="Electric"/>
    <x v="2"/>
    <n v="38332"/>
    <n v="255232"/>
    <n v="55"/>
    <n v="0.97"/>
    <n v="6.29"/>
    <n v="1.2"/>
    <n v="8"/>
    <x v="368"/>
    <x v="0"/>
    <n v="38791.984000000004"/>
  </r>
  <r>
    <x v="9"/>
    <x v="7"/>
    <x v="3"/>
    <x v="3"/>
    <s v="Sedan"/>
    <x v="3"/>
    <n v="101323"/>
    <n v="424842"/>
    <n v="53"/>
    <n v="0.97"/>
    <n v="6.29"/>
    <n v="1.2"/>
    <n v="3"/>
    <x v="287"/>
    <x v="0"/>
    <n v="102538.876"/>
  </r>
  <r>
    <x v="1"/>
    <x v="9"/>
    <x v="2"/>
    <x v="2"/>
    <s v="Electric"/>
    <x v="2"/>
    <n v="73990"/>
    <n v="423704"/>
    <n v="287"/>
    <n v="0.97"/>
    <n v="6.29"/>
    <n v="1.2"/>
    <n v="9"/>
    <x v="369"/>
    <x v="0"/>
    <n v="74877.88"/>
  </r>
  <r>
    <x v="4"/>
    <x v="4"/>
    <x v="2"/>
    <x v="0"/>
    <s v="Sedan"/>
    <x v="0"/>
    <n v="44873"/>
    <n v="444051"/>
    <n v="190"/>
    <n v="0.97"/>
    <n v="6.29"/>
    <n v="1.2"/>
    <n v="3"/>
    <x v="38"/>
    <x v="0"/>
    <n v="45411.476000000002"/>
  </r>
  <r>
    <x v="3"/>
    <x v="6"/>
    <x v="2"/>
    <x v="0"/>
    <s v="Electric"/>
    <x v="1"/>
    <n v="117542"/>
    <n v="330790"/>
    <n v="196"/>
    <n v="0.97"/>
    <n v="6.29"/>
    <n v="1.2"/>
    <n v="1"/>
    <x v="211"/>
    <x v="1"/>
    <n v="105787.8"/>
  </r>
  <r>
    <x v="9"/>
    <x v="0"/>
    <x v="6"/>
    <x v="2"/>
    <s v="Electric"/>
    <x v="1"/>
    <n v="71444"/>
    <n v="173777"/>
    <n v="123"/>
    <n v="0.97"/>
    <n v="6.29"/>
    <n v="1.2"/>
    <n v="2"/>
    <x v="188"/>
    <x v="2"/>
    <n v="71444"/>
  </r>
  <r>
    <x v="2"/>
    <x v="3"/>
    <x v="9"/>
    <x v="7"/>
    <s v="Sedan"/>
    <x v="2"/>
    <n v="70340"/>
    <n v="127360"/>
    <n v="264"/>
    <n v="0.97"/>
    <n v="6.29"/>
    <n v="1.2"/>
    <n v="6"/>
    <x v="370"/>
    <x v="0"/>
    <n v="71184.08"/>
  </r>
  <r>
    <x v="5"/>
    <x v="6"/>
    <x v="7"/>
    <x v="7"/>
    <s v="Electric"/>
    <x v="3"/>
    <n v="40033"/>
    <n v="349479"/>
    <n v="390"/>
    <n v="0.97"/>
    <n v="6.29"/>
    <n v="1.2"/>
    <n v="10"/>
    <x v="371"/>
    <x v="0"/>
    <n v="40513.396000000001"/>
  </r>
  <r>
    <x v="8"/>
    <x v="9"/>
    <x v="6"/>
    <x v="6"/>
    <s v="SUV"/>
    <x v="0"/>
    <n v="108324"/>
    <n v="381495"/>
    <n v="389"/>
    <n v="0.97"/>
    <n v="6.29"/>
    <n v="1.2"/>
    <n v="2"/>
    <x v="372"/>
    <x v="1"/>
    <n v="97491.6"/>
  </r>
  <r>
    <x v="5"/>
    <x v="11"/>
    <x v="5"/>
    <x v="4"/>
    <s v="Sedan"/>
    <x v="3"/>
    <n v="50689"/>
    <n v="427078"/>
    <n v="39"/>
    <n v="0.97"/>
    <n v="6.29"/>
    <n v="1.2"/>
    <n v="6"/>
    <x v="373"/>
    <x v="0"/>
    <n v="51297.268000000004"/>
  </r>
  <r>
    <x v="1"/>
    <x v="11"/>
    <x v="3"/>
    <x v="1"/>
    <s v="SUV"/>
    <x v="0"/>
    <n v="35066"/>
    <n v="183501"/>
    <n v="273"/>
    <n v="0.97"/>
    <n v="6.29"/>
    <n v="1.2"/>
    <n v="1"/>
    <x v="374"/>
    <x v="2"/>
    <n v="35066"/>
  </r>
  <r>
    <x v="7"/>
    <x v="0"/>
    <x v="0"/>
    <x v="7"/>
    <s v="Sedan"/>
    <x v="2"/>
    <n v="80246"/>
    <n v="354094"/>
    <n v="107"/>
    <n v="0.97"/>
    <n v="6.29"/>
    <n v="1.2"/>
    <n v="1"/>
    <x v="375"/>
    <x v="1"/>
    <n v="72221.400000000009"/>
  </r>
  <r>
    <x v="8"/>
    <x v="1"/>
    <x v="7"/>
    <x v="8"/>
    <s v="Electric"/>
    <x v="0"/>
    <n v="42533"/>
    <n v="110654"/>
    <n v="322"/>
    <n v="0.97"/>
    <n v="6.29"/>
    <n v="1.2"/>
    <n v="5"/>
    <x v="376"/>
    <x v="0"/>
    <n v="43043.396000000001"/>
  </r>
  <r>
    <x v="0"/>
    <x v="9"/>
    <x v="8"/>
    <x v="6"/>
    <s v="Electric"/>
    <x v="0"/>
    <n v="115639"/>
    <n v="419566"/>
    <n v="376"/>
    <n v="0.97"/>
    <n v="6.29"/>
    <n v="1.2"/>
    <n v="10"/>
    <x v="377"/>
    <x v="0"/>
    <n v="117026.66800000001"/>
  </r>
  <r>
    <x v="2"/>
    <x v="9"/>
    <x v="5"/>
    <x v="9"/>
    <s v="Electric"/>
    <x v="2"/>
    <n v="105152"/>
    <n v="422078"/>
    <n v="338"/>
    <n v="0.97"/>
    <n v="6.29"/>
    <n v="1.2"/>
    <n v="9"/>
    <x v="378"/>
    <x v="0"/>
    <n v="106413.82400000001"/>
  </r>
  <r>
    <x v="0"/>
    <x v="8"/>
    <x v="7"/>
    <x v="5"/>
    <s v="Sedan"/>
    <x v="3"/>
    <n v="94658"/>
    <n v="169975"/>
    <n v="124"/>
    <n v="0.97"/>
    <n v="6.29"/>
    <n v="1.2"/>
    <n v="8"/>
    <x v="379"/>
    <x v="0"/>
    <n v="95793.896000000008"/>
  </r>
  <r>
    <x v="3"/>
    <x v="1"/>
    <x v="6"/>
    <x v="9"/>
    <s v="SUV"/>
    <x v="2"/>
    <n v="73498"/>
    <n v="249215"/>
    <n v="285"/>
    <n v="0.97"/>
    <n v="6.29"/>
    <n v="1.2"/>
    <n v="3"/>
    <x v="380"/>
    <x v="0"/>
    <n v="74379.975999999995"/>
  </r>
  <r>
    <x v="8"/>
    <x v="7"/>
    <x v="1"/>
    <x v="6"/>
    <s v="SUV"/>
    <x v="0"/>
    <n v="46772"/>
    <n v="403330"/>
    <n v="290"/>
    <n v="0.97"/>
    <n v="6.29"/>
    <n v="1.2"/>
    <n v="3"/>
    <x v="170"/>
    <x v="0"/>
    <n v="47333.264000000003"/>
  </r>
  <r>
    <x v="0"/>
    <x v="7"/>
    <x v="0"/>
    <x v="3"/>
    <s v="Sedan"/>
    <x v="2"/>
    <n v="84036"/>
    <n v="416378"/>
    <n v="284"/>
    <n v="0.97"/>
    <n v="6.29"/>
    <n v="1.2"/>
    <n v="1"/>
    <x v="323"/>
    <x v="1"/>
    <n v="75632.400000000009"/>
  </r>
  <r>
    <x v="0"/>
    <x v="4"/>
    <x v="7"/>
    <x v="1"/>
    <s v="Sedan"/>
    <x v="0"/>
    <n v="93531"/>
    <n v="152326"/>
    <n v="270"/>
    <n v="0.97"/>
    <n v="6.29"/>
    <n v="1.2"/>
    <n v="3"/>
    <x v="381"/>
    <x v="0"/>
    <n v="94653.372000000003"/>
  </r>
  <r>
    <x v="9"/>
    <x v="5"/>
    <x v="9"/>
    <x v="5"/>
    <s v="SUV"/>
    <x v="2"/>
    <n v="47940"/>
    <n v="127527"/>
    <n v="340"/>
    <n v="0.97"/>
    <n v="6.29"/>
    <n v="1.2"/>
    <n v="1"/>
    <x v="382"/>
    <x v="2"/>
    <n v="47940"/>
  </r>
  <r>
    <x v="5"/>
    <x v="11"/>
    <x v="2"/>
    <x v="9"/>
    <s v="SUV"/>
    <x v="1"/>
    <n v="51932"/>
    <n v="398848"/>
    <n v="216"/>
    <n v="0.97"/>
    <n v="6.29"/>
    <n v="1.2"/>
    <n v="8"/>
    <x v="383"/>
    <x v="0"/>
    <n v="52555.184000000001"/>
  </r>
  <r>
    <x v="9"/>
    <x v="3"/>
    <x v="2"/>
    <x v="5"/>
    <s v="SUV"/>
    <x v="1"/>
    <n v="91827"/>
    <n v="474315"/>
    <n v="393"/>
    <n v="0.97"/>
    <n v="6.29"/>
    <n v="1.2"/>
    <n v="1"/>
    <x v="384"/>
    <x v="1"/>
    <n v="82644.3"/>
  </r>
  <r>
    <x v="8"/>
    <x v="7"/>
    <x v="0"/>
    <x v="8"/>
    <s v="SUV"/>
    <x v="2"/>
    <n v="96431"/>
    <n v="482601"/>
    <n v="337"/>
    <n v="0.97"/>
    <n v="6.29"/>
    <n v="1.2"/>
    <n v="5"/>
    <x v="234"/>
    <x v="0"/>
    <n v="97588.172000000006"/>
  </r>
  <r>
    <x v="8"/>
    <x v="1"/>
    <x v="6"/>
    <x v="8"/>
    <s v="Sedan"/>
    <x v="3"/>
    <n v="59648"/>
    <n v="216991"/>
    <n v="220"/>
    <n v="0.97"/>
    <n v="6.29"/>
    <n v="1.2"/>
    <n v="9"/>
    <x v="335"/>
    <x v="0"/>
    <n v="60363.775999999998"/>
  </r>
  <r>
    <x v="1"/>
    <x v="9"/>
    <x v="2"/>
    <x v="8"/>
    <s v="Sedan"/>
    <x v="0"/>
    <n v="67966"/>
    <n v="146952"/>
    <n v="224"/>
    <n v="0.97"/>
    <n v="6.29"/>
    <n v="1.2"/>
    <n v="7"/>
    <x v="385"/>
    <x v="0"/>
    <n v="68781.592000000004"/>
  </r>
  <r>
    <x v="9"/>
    <x v="3"/>
    <x v="7"/>
    <x v="6"/>
    <s v="Electric"/>
    <x v="1"/>
    <n v="62777"/>
    <n v="372926"/>
    <n v="49"/>
    <n v="0.97"/>
    <n v="6.29"/>
    <n v="1.2"/>
    <n v="4"/>
    <x v="386"/>
    <x v="0"/>
    <n v="63530.324000000001"/>
  </r>
  <r>
    <x v="6"/>
    <x v="2"/>
    <x v="8"/>
    <x v="1"/>
    <s v="SUV"/>
    <x v="3"/>
    <n v="67567"/>
    <n v="383260"/>
    <n v="35"/>
    <n v="0.97"/>
    <n v="6.29"/>
    <n v="1.2"/>
    <n v="9"/>
    <x v="387"/>
    <x v="0"/>
    <n v="68377.804000000004"/>
  </r>
  <r>
    <x v="5"/>
    <x v="7"/>
    <x v="3"/>
    <x v="6"/>
    <s v="Electric"/>
    <x v="0"/>
    <n v="52174"/>
    <n v="401770"/>
    <n v="36"/>
    <n v="0.97"/>
    <n v="6.29"/>
    <n v="1.2"/>
    <n v="9"/>
    <x v="388"/>
    <x v="0"/>
    <n v="52800.088000000003"/>
  </r>
  <r>
    <x v="8"/>
    <x v="9"/>
    <x v="3"/>
    <x v="0"/>
    <s v="Sedan"/>
    <x v="1"/>
    <n v="77598"/>
    <n v="483603"/>
    <n v="199"/>
    <n v="0.97"/>
    <n v="6.29"/>
    <n v="1.2"/>
    <n v="2"/>
    <x v="389"/>
    <x v="1"/>
    <n v="69838.2"/>
  </r>
  <r>
    <x v="1"/>
    <x v="7"/>
    <x v="5"/>
    <x v="3"/>
    <s v="Sedan"/>
    <x v="1"/>
    <n v="94199"/>
    <n v="196895"/>
    <n v="92"/>
    <n v="0.97"/>
    <n v="6.29"/>
    <n v="1.2"/>
    <n v="10"/>
    <x v="390"/>
    <x v="0"/>
    <n v="95329.388000000006"/>
  </r>
  <r>
    <x v="9"/>
    <x v="11"/>
    <x v="4"/>
    <x v="3"/>
    <s v="Electric"/>
    <x v="2"/>
    <n v="48798"/>
    <n v="96015"/>
    <n v="393"/>
    <n v="0.97"/>
    <n v="6.29"/>
    <n v="1.2"/>
    <n v="10"/>
    <x v="391"/>
    <x v="0"/>
    <n v="49383.576000000001"/>
  </r>
  <r>
    <x v="5"/>
    <x v="2"/>
    <x v="1"/>
    <x v="8"/>
    <s v="SUV"/>
    <x v="0"/>
    <n v="100364"/>
    <n v="152877"/>
    <n v="179"/>
    <n v="0.97"/>
    <n v="6.29"/>
    <n v="1.2"/>
    <n v="6"/>
    <x v="392"/>
    <x v="0"/>
    <n v="101568.368"/>
  </r>
  <r>
    <x v="9"/>
    <x v="6"/>
    <x v="0"/>
    <x v="0"/>
    <s v="SUV"/>
    <x v="3"/>
    <n v="52558"/>
    <n v="327483"/>
    <n v="176"/>
    <n v="0.97"/>
    <n v="6.29"/>
    <n v="1.2"/>
    <n v="4"/>
    <x v="393"/>
    <x v="0"/>
    <n v="53188.696000000004"/>
  </r>
  <r>
    <x v="0"/>
    <x v="7"/>
    <x v="5"/>
    <x v="7"/>
    <s v="SUV"/>
    <x v="3"/>
    <n v="96084"/>
    <n v="184563"/>
    <n v="197"/>
    <n v="0.97"/>
    <n v="6.29"/>
    <n v="1.2"/>
    <n v="8"/>
    <x v="271"/>
    <x v="0"/>
    <n v="97237.008000000002"/>
  </r>
  <r>
    <x v="1"/>
    <x v="1"/>
    <x v="4"/>
    <x v="7"/>
    <s v="SUV"/>
    <x v="3"/>
    <n v="79237"/>
    <n v="443922"/>
    <n v="178"/>
    <n v="0.97"/>
    <n v="6.29"/>
    <n v="1.2"/>
    <n v="7"/>
    <x v="240"/>
    <x v="0"/>
    <n v="80187.843999999997"/>
  </r>
  <r>
    <x v="5"/>
    <x v="7"/>
    <x v="6"/>
    <x v="8"/>
    <s v="Electric"/>
    <x v="0"/>
    <n v="100497"/>
    <n v="147493"/>
    <n v="298"/>
    <n v="0.97"/>
    <n v="6.29"/>
    <n v="1.2"/>
    <n v="7"/>
    <x v="106"/>
    <x v="0"/>
    <n v="101702.96400000001"/>
  </r>
  <r>
    <x v="4"/>
    <x v="5"/>
    <x v="9"/>
    <x v="9"/>
    <s v="Electric"/>
    <x v="3"/>
    <n v="35178"/>
    <n v="196800"/>
    <n v="238"/>
    <n v="0.97"/>
    <n v="6.29"/>
    <n v="1.2"/>
    <n v="10"/>
    <x v="38"/>
    <x v="0"/>
    <n v="35600.135999999999"/>
  </r>
  <r>
    <x v="3"/>
    <x v="3"/>
    <x v="9"/>
    <x v="6"/>
    <s v="Sedan"/>
    <x v="3"/>
    <n v="52118"/>
    <n v="450213"/>
    <n v="106"/>
    <n v="0.97"/>
    <n v="6.29"/>
    <n v="1.2"/>
    <n v="9"/>
    <x v="82"/>
    <x v="0"/>
    <n v="52743.415999999997"/>
  </r>
  <r>
    <x v="3"/>
    <x v="3"/>
    <x v="1"/>
    <x v="8"/>
    <s v="SUV"/>
    <x v="3"/>
    <n v="57616"/>
    <n v="241480"/>
    <n v="376"/>
    <n v="0.97"/>
    <n v="6.29"/>
    <n v="1.2"/>
    <n v="5"/>
    <x v="394"/>
    <x v="0"/>
    <n v="58307.392"/>
  </r>
  <r>
    <x v="5"/>
    <x v="11"/>
    <x v="2"/>
    <x v="4"/>
    <s v="SUV"/>
    <x v="2"/>
    <n v="35798"/>
    <n v="441670"/>
    <n v="25"/>
    <n v="0.97"/>
    <n v="6.29"/>
    <n v="1.2"/>
    <n v="6"/>
    <x v="395"/>
    <x v="0"/>
    <n v="36227.576000000001"/>
  </r>
  <r>
    <x v="9"/>
    <x v="1"/>
    <x v="7"/>
    <x v="5"/>
    <s v="SUV"/>
    <x v="2"/>
    <n v="42601"/>
    <n v="481739"/>
    <n v="288"/>
    <n v="0.97"/>
    <n v="6.29"/>
    <n v="1.2"/>
    <n v="1"/>
    <x v="383"/>
    <x v="1"/>
    <n v="38340.9"/>
  </r>
  <r>
    <x v="1"/>
    <x v="2"/>
    <x v="5"/>
    <x v="3"/>
    <s v="Electric"/>
    <x v="0"/>
    <n v="60363"/>
    <n v="171648"/>
    <n v="144"/>
    <n v="0.97"/>
    <n v="6.29"/>
    <n v="1.2"/>
    <n v="6"/>
    <x v="362"/>
    <x v="0"/>
    <n v="61087.356"/>
  </r>
  <r>
    <x v="3"/>
    <x v="8"/>
    <x v="5"/>
    <x v="7"/>
    <s v="SUV"/>
    <x v="0"/>
    <n v="37795"/>
    <n v="337307"/>
    <n v="35"/>
    <n v="0.97"/>
    <n v="6.29"/>
    <n v="1.2"/>
    <n v="2"/>
    <x v="344"/>
    <x v="1"/>
    <n v="34015.5"/>
  </r>
  <r>
    <x v="1"/>
    <x v="1"/>
    <x v="0"/>
    <x v="2"/>
    <s v="Electric"/>
    <x v="3"/>
    <n v="80264"/>
    <n v="198790"/>
    <n v="361"/>
    <n v="0.97"/>
    <n v="6.29"/>
    <n v="1.2"/>
    <n v="6"/>
    <x v="396"/>
    <x v="0"/>
    <n v="81227.168000000005"/>
  </r>
  <r>
    <x v="3"/>
    <x v="3"/>
    <x v="0"/>
    <x v="7"/>
    <s v="SUV"/>
    <x v="2"/>
    <n v="107833"/>
    <n v="137508"/>
    <n v="21"/>
    <n v="0.97"/>
    <n v="6.29"/>
    <n v="1.2"/>
    <n v="9"/>
    <x v="295"/>
    <x v="0"/>
    <n v="109126.996"/>
  </r>
  <r>
    <x v="0"/>
    <x v="5"/>
    <x v="9"/>
    <x v="3"/>
    <s v="SUV"/>
    <x v="1"/>
    <n v="38084"/>
    <n v="264839"/>
    <n v="81"/>
    <n v="0.97"/>
    <n v="6.29"/>
    <n v="1.2"/>
    <n v="8"/>
    <x v="397"/>
    <x v="0"/>
    <n v="38541.008000000002"/>
  </r>
  <r>
    <x v="9"/>
    <x v="6"/>
    <x v="9"/>
    <x v="5"/>
    <s v="Sedan"/>
    <x v="1"/>
    <n v="111646"/>
    <n v="351763"/>
    <n v="142"/>
    <n v="0.97"/>
    <n v="6.29"/>
    <n v="1.2"/>
    <n v="9"/>
    <x v="114"/>
    <x v="0"/>
    <n v="112985.75200000001"/>
  </r>
  <r>
    <x v="0"/>
    <x v="11"/>
    <x v="8"/>
    <x v="3"/>
    <s v="SUV"/>
    <x v="3"/>
    <n v="35731"/>
    <n v="324270"/>
    <n v="115"/>
    <n v="0.97"/>
    <n v="6.29"/>
    <n v="1.2"/>
    <n v="10"/>
    <x v="398"/>
    <x v="0"/>
    <n v="36159.771999999997"/>
  </r>
  <r>
    <x v="3"/>
    <x v="8"/>
    <x v="8"/>
    <x v="2"/>
    <s v="SUV"/>
    <x v="3"/>
    <n v="36129"/>
    <n v="114926"/>
    <n v="229"/>
    <n v="0.97"/>
    <n v="6.29"/>
    <n v="1.2"/>
    <n v="8"/>
    <x v="378"/>
    <x v="0"/>
    <n v="36562.548000000003"/>
  </r>
  <r>
    <x v="4"/>
    <x v="5"/>
    <x v="2"/>
    <x v="8"/>
    <s v="Sedan"/>
    <x v="2"/>
    <n v="63022"/>
    <n v="90633"/>
    <n v="382"/>
    <n v="0.97"/>
    <n v="6.29"/>
    <n v="1.2"/>
    <n v="3"/>
    <x v="399"/>
    <x v="0"/>
    <n v="63778.264000000003"/>
  </r>
  <r>
    <x v="4"/>
    <x v="2"/>
    <x v="8"/>
    <x v="0"/>
    <s v="Electric"/>
    <x v="2"/>
    <n v="36605"/>
    <n v="258726"/>
    <n v="186"/>
    <n v="0.97"/>
    <n v="6.29"/>
    <n v="1.2"/>
    <n v="8"/>
    <x v="106"/>
    <x v="0"/>
    <n v="37044.26"/>
  </r>
  <r>
    <x v="0"/>
    <x v="2"/>
    <x v="7"/>
    <x v="2"/>
    <s v="Electric"/>
    <x v="2"/>
    <n v="112506"/>
    <n v="53317"/>
    <n v="291"/>
    <n v="0.97"/>
    <n v="6.29"/>
    <n v="1.2"/>
    <n v="6"/>
    <x v="400"/>
    <x v="0"/>
    <n v="113856.072"/>
  </r>
  <r>
    <x v="4"/>
    <x v="5"/>
    <x v="7"/>
    <x v="3"/>
    <s v="SUV"/>
    <x v="0"/>
    <n v="79130"/>
    <n v="357124"/>
    <n v="142"/>
    <n v="0.97"/>
    <n v="6.29"/>
    <n v="1.2"/>
    <n v="6"/>
    <x v="60"/>
    <x v="0"/>
    <n v="80079.56"/>
  </r>
  <r>
    <x v="3"/>
    <x v="0"/>
    <x v="5"/>
    <x v="3"/>
    <s v="Electric"/>
    <x v="0"/>
    <n v="64265"/>
    <n v="356259"/>
    <n v="31"/>
    <n v="0.97"/>
    <n v="6.29"/>
    <n v="1.2"/>
    <n v="6"/>
    <x v="321"/>
    <x v="0"/>
    <n v="65036.18"/>
  </r>
  <r>
    <x v="5"/>
    <x v="11"/>
    <x v="3"/>
    <x v="4"/>
    <s v="SUV"/>
    <x v="3"/>
    <n v="67330"/>
    <n v="242718"/>
    <n v="278"/>
    <n v="0.97"/>
    <n v="6.29"/>
    <n v="1.2"/>
    <n v="3"/>
    <x v="384"/>
    <x v="0"/>
    <n v="68137.960000000006"/>
  </r>
  <r>
    <x v="0"/>
    <x v="1"/>
    <x v="7"/>
    <x v="4"/>
    <s v="Sedan"/>
    <x v="0"/>
    <n v="103469"/>
    <n v="355302"/>
    <n v="170"/>
    <n v="0.97"/>
    <n v="6.29"/>
    <n v="1.2"/>
    <n v="10"/>
    <x v="401"/>
    <x v="0"/>
    <n v="104710.628"/>
  </r>
  <r>
    <x v="7"/>
    <x v="9"/>
    <x v="4"/>
    <x v="1"/>
    <s v="Sedan"/>
    <x v="2"/>
    <n v="50187"/>
    <n v="237035"/>
    <n v="116"/>
    <n v="0.97"/>
    <n v="6.29"/>
    <n v="1.2"/>
    <n v="1"/>
    <x v="402"/>
    <x v="2"/>
    <n v="50187"/>
  </r>
  <r>
    <x v="9"/>
    <x v="6"/>
    <x v="9"/>
    <x v="4"/>
    <s v="SUV"/>
    <x v="2"/>
    <n v="60791"/>
    <n v="490847"/>
    <n v="288"/>
    <n v="0.97"/>
    <n v="6.29"/>
    <n v="1.2"/>
    <n v="4"/>
    <x v="224"/>
    <x v="0"/>
    <n v="61520.491999999998"/>
  </r>
  <r>
    <x v="4"/>
    <x v="9"/>
    <x v="0"/>
    <x v="6"/>
    <s v="Sedan"/>
    <x v="0"/>
    <n v="105610"/>
    <n v="230388"/>
    <n v="362"/>
    <n v="0.97"/>
    <n v="6.29"/>
    <n v="1.2"/>
    <n v="10"/>
    <x v="403"/>
    <x v="0"/>
    <n v="106877.32"/>
  </r>
  <r>
    <x v="4"/>
    <x v="1"/>
    <x v="8"/>
    <x v="0"/>
    <s v="Sedan"/>
    <x v="1"/>
    <n v="74867"/>
    <n v="417508"/>
    <n v="244"/>
    <n v="0.97"/>
    <n v="6.29"/>
    <n v="1.2"/>
    <n v="6"/>
    <x v="62"/>
    <x v="0"/>
    <n v="75765.403999999995"/>
  </r>
  <r>
    <x v="8"/>
    <x v="1"/>
    <x v="5"/>
    <x v="5"/>
    <s v="SUV"/>
    <x v="3"/>
    <n v="35893"/>
    <n v="327648"/>
    <n v="27"/>
    <n v="0.97"/>
    <n v="6.29"/>
    <n v="1.2"/>
    <n v="10"/>
    <x v="404"/>
    <x v="0"/>
    <n v="36323.716"/>
  </r>
  <r>
    <x v="6"/>
    <x v="11"/>
    <x v="1"/>
    <x v="2"/>
    <s v="SUV"/>
    <x v="1"/>
    <n v="54773"/>
    <n v="249665"/>
    <n v="251"/>
    <n v="0.97"/>
    <n v="6.29"/>
    <n v="1.2"/>
    <n v="2"/>
    <x v="405"/>
    <x v="2"/>
    <n v="54773"/>
  </r>
  <r>
    <x v="0"/>
    <x v="1"/>
    <x v="0"/>
    <x v="3"/>
    <s v="Sedan"/>
    <x v="3"/>
    <n v="39239"/>
    <n v="469876"/>
    <n v="126"/>
    <n v="0.97"/>
    <n v="6.29"/>
    <n v="1.2"/>
    <n v="7"/>
    <x v="406"/>
    <x v="0"/>
    <n v="39709.868000000002"/>
  </r>
  <r>
    <x v="2"/>
    <x v="3"/>
    <x v="4"/>
    <x v="1"/>
    <s v="Electric"/>
    <x v="1"/>
    <n v="55863"/>
    <n v="349340"/>
    <n v="295"/>
    <n v="0.97"/>
    <n v="6.29"/>
    <n v="1.2"/>
    <n v="7"/>
    <x v="407"/>
    <x v="0"/>
    <n v="56533.356"/>
  </r>
  <r>
    <x v="4"/>
    <x v="0"/>
    <x v="8"/>
    <x v="1"/>
    <s v="Electric"/>
    <x v="0"/>
    <n v="86415"/>
    <n v="378082"/>
    <n v="291"/>
    <n v="0.97"/>
    <n v="6.29"/>
    <n v="1.2"/>
    <n v="4"/>
    <x v="408"/>
    <x v="0"/>
    <n v="87451.98"/>
  </r>
  <r>
    <x v="9"/>
    <x v="8"/>
    <x v="4"/>
    <x v="5"/>
    <s v="SUV"/>
    <x v="3"/>
    <n v="103968"/>
    <n v="451821"/>
    <n v="153"/>
    <n v="0.97"/>
    <n v="6.29"/>
    <n v="1.2"/>
    <n v="4"/>
    <x v="409"/>
    <x v="0"/>
    <n v="105215.61599999999"/>
  </r>
  <r>
    <x v="7"/>
    <x v="1"/>
    <x v="9"/>
    <x v="0"/>
    <s v="SUV"/>
    <x v="3"/>
    <n v="95430"/>
    <n v="369532"/>
    <n v="214"/>
    <n v="0.97"/>
    <n v="6.29"/>
    <n v="1.2"/>
    <n v="1"/>
    <x v="410"/>
    <x v="1"/>
    <n v="85887"/>
  </r>
  <r>
    <x v="4"/>
    <x v="9"/>
    <x v="9"/>
    <x v="2"/>
    <s v="Electric"/>
    <x v="3"/>
    <n v="36515"/>
    <n v="262369"/>
    <n v="48"/>
    <n v="0.97"/>
    <n v="6.29"/>
    <n v="1.2"/>
    <n v="2"/>
    <x v="77"/>
    <x v="2"/>
    <n v="36515"/>
  </r>
  <r>
    <x v="7"/>
    <x v="1"/>
    <x v="2"/>
    <x v="7"/>
    <s v="Sedan"/>
    <x v="2"/>
    <n v="49605"/>
    <n v="105501"/>
    <n v="163"/>
    <n v="0.97"/>
    <n v="6.29"/>
    <n v="1.2"/>
    <n v="9"/>
    <x v="411"/>
    <x v="0"/>
    <n v="50200.26"/>
  </r>
  <r>
    <x v="3"/>
    <x v="2"/>
    <x v="5"/>
    <x v="4"/>
    <s v="Electric"/>
    <x v="2"/>
    <n v="91240"/>
    <n v="234381"/>
    <n v="185"/>
    <n v="0.97"/>
    <n v="6.29"/>
    <n v="1.2"/>
    <n v="10"/>
    <x v="412"/>
    <x v="0"/>
    <n v="92334.88"/>
  </r>
  <r>
    <x v="3"/>
    <x v="0"/>
    <x v="0"/>
    <x v="8"/>
    <s v="Electric"/>
    <x v="1"/>
    <n v="40586"/>
    <n v="77043"/>
    <n v="250"/>
    <n v="0.97"/>
    <n v="6.29"/>
    <n v="1.2"/>
    <n v="8"/>
    <x v="369"/>
    <x v="0"/>
    <n v="41073.031999999999"/>
  </r>
  <r>
    <x v="6"/>
    <x v="3"/>
    <x v="6"/>
    <x v="1"/>
    <s v="Electric"/>
    <x v="0"/>
    <n v="66186"/>
    <n v="83635"/>
    <n v="395"/>
    <n v="0.97"/>
    <n v="6.29"/>
    <n v="1.2"/>
    <n v="8"/>
    <x v="413"/>
    <x v="0"/>
    <n v="66980.232000000004"/>
  </r>
  <r>
    <x v="5"/>
    <x v="3"/>
    <x v="6"/>
    <x v="4"/>
    <s v="Electric"/>
    <x v="2"/>
    <n v="61928"/>
    <n v="260387"/>
    <n v="378"/>
    <n v="0.97"/>
    <n v="6.29"/>
    <n v="1.2"/>
    <n v="9"/>
    <x v="414"/>
    <x v="0"/>
    <n v="62671.135999999999"/>
  </r>
  <r>
    <x v="2"/>
    <x v="7"/>
    <x v="0"/>
    <x v="4"/>
    <s v="SUV"/>
    <x v="3"/>
    <n v="118087"/>
    <n v="130691"/>
    <n v="143"/>
    <n v="0.97"/>
    <n v="6.29"/>
    <n v="1.2"/>
    <n v="7"/>
    <x v="415"/>
    <x v="0"/>
    <n v="119504.04399999999"/>
  </r>
  <r>
    <x v="8"/>
    <x v="3"/>
    <x v="1"/>
    <x v="6"/>
    <s v="SUV"/>
    <x v="2"/>
    <n v="55711"/>
    <n v="345276"/>
    <n v="55"/>
    <n v="0.97"/>
    <n v="6.29"/>
    <n v="1.2"/>
    <n v="9"/>
    <x v="416"/>
    <x v="0"/>
    <n v="56379.531999999999"/>
  </r>
  <r>
    <x v="6"/>
    <x v="7"/>
    <x v="5"/>
    <x v="0"/>
    <s v="Sedan"/>
    <x v="0"/>
    <n v="89962"/>
    <n v="327510"/>
    <n v="59"/>
    <n v="0.97"/>
    <n v="6.29"/>
    <n v="1.2"/>
    <n v="10"/>
    <x v="417"/>
    <x v="0"/>
    <n v="91041.543999999994"/>
  </r>
  <r>
    <x v="1"/>
    <x v="5"/>
    <x v="4"/>
    <x v="8"/>
    <s v="Sedan"/>
    <x v="2"/>
    <n v="55039"/>
    <n v="143944"/>
    <n v="175"/>
    <n v="0.97"/>
    <n v="6.29"/>
    <n v="1.2"/>
    <n v="2"/>
    <x v="418"/>
    <x v="2"/>
    <n v="55039"/>
  </r>
  <r>
    <x v="8"/>
    <x v="6"/>
    <x v="1"/>
    <x v="7"/>
    <s v="Sedan"/>
    <x v="3"/>
    <n v="71561"/>
    <n v="253179"/>
    <n v="115"/>
    <n v="0.97"/>
    <n v="6.29"/>
    <n v="1.2"/>
    <n v="6"/>
    <x v="419"/>
    <x v="0"/>
    <n v="72419.732000000004"/>
  </r>
  <r>
    <x v="0"/>
    <x v="4"/>
    <x v="3"/>
    <x v="3"/>
    <s v="Sedan"/>
    <x v="1"/>
    <n v="110483"/>
    <n v="427411"/>
    <n v="225"/>
    <n v="0.97"/>
    <n v="6.29"/>
    <n v="1.2"/>
    <n v="3"/>
    <x v="420"/>
    <x v="0"/>
    <n v="111808.796"/>
  </r>
  <r>
    <x v="9"/>
    <x v="3"/>
    <x v="0"/>
    <x v="6"/>
    <s v="Electric"/>
    <x v="3"/>
    <n v="116395"/>
    <n v="89236"/>
    <n v="155"/>
    <n v="0.97"/>
    <n v="6.29"/>
    <n v="1.2"/>
    <n v="6"/>
    <x v="207"/>
    <x v="0"/>
    <n v="117791.74"/>
  </r>
  <r>
    <x v="1"/>
    <x v="8"/>
    <x v="4"/>
    <x v="4"/>
    <s v="SUV"/>
    <x v="0"/>
    <n v="36577"/>
    <n v="316294"/>
    <n v="81"/>
    <n v="0.97"/>
    <n v="6.29"/>
    <n v="1.2"/>
    <n v="3"/>
    <x v="120"/>
    <x v="0"/>
    <n v="37015.923999999999"/>
  </r>
  <r>
    <x v="1"/>
    <x v="2"/>
    <x v="6"/>
    <x v="4"/>
    <s v="SUV"/>
    <x v="1"/>
    <n v="63350"/>
    <n v="423513"/>
    <n v="339"/>
    <n v="0.97"/>
    <n v="6.29"/>
    <n v="1.2"/>
    <n v="8"/>
    <x v="421"/>
    <x v="0"/>
    <n v="64110.2"/>
  </r>
  <r>
    <x v="6"/>
    <x v="10"/>
    <x v="7"/>
    <x v="9"/>
    <s v="Sedan"/>
    <x v="2"/>
    <n v="68798"/>
    <n v="331567"/>
    <n v="282"/>
    <n v="0.97"/>
    <n v="6.29"/>
    <n v="1.2"/>
    <n v="4"/>
    <x v="3"/>
    <x v="0"/>
    <n v="69623.576000000001"/>
  </r>
  <r>
    <x v="5"/>
    <x v="5"/>
    <x v="2"/>
    <x v="8"/>
    <s v="Sedan"/>
    <x v="2"/>
    <n v="116417"/>
    <n v="54137"/>
    <n v="256"/>
    <n v="0.97"/>
    <n v="6.29"/>
    <n v="1.2"/>
    <n v="10"/>
    <x v="35"/>
    <x v="0"/>
    <n v="117814.004"/>
  </r>
  <r>
    <x v="6"/>
    <x v="3"/>
    <x v="6"/>
    <x v="8"/>
    <s v="Electric"/>
    <x v="2"/>
    <n v="45785"/>
    <n v="79992"/>
    <n v="195"/>
    <n v="0.97"/>
    <n v="6.29"/>
    <n v="1.2"/>
    <n v="6"/>
    <x v="193"/>
    <x v="0"/>
    <n v="46334.42"/>
  </r>
  <r>
    <x v="0"/>
    <x v="6"/>
    <x v="5"/>
    <x v="9"/>
    <s v="Electric"/>
    <x v="1"/>
    <n v="107227"/>
    <n v="422684"/>
    <n v="79"/>
    <n v="0.97"/>
    <n v="6.29"/>
    <n v="1.2"/>
    <n v="9"/>
    <x v="39"/>
    <x v="0"/>
    <n v="108513.724"/>
  </r>
  <r>
    <x v="4"/>
    <x v="7"/>
    <x v="9"/>
    <x v="8"/>
    <s v="Sedan"/>
    <x v="3"/>
    <n v="96957"/>
    <n v="165140"/>
    <n v="159"/>
    <n v="0.97"/>
    <n v="6.29"/>
    <n v="1.2"/>
    <n v="2"/>
    <x v="76"/>
    <x v="2"/>
    <n v="96957"/>
  </r>
  <r>
    <x v="4"/>
    <x v="9"/>
    <x v="7"/>
    <x v="4"/>
    <s v="SUV"/>
    <x v="1"/>
    <n v="100431"/>
    <n v="225993"/>
    <n v="255"/>
    <n v="0.97"/>
    <n v="6.29"/>
    <n v="1.2"/>
    <n v="2"/>
    <x v="422"/>
    <x v="2"/>
    <n v="100431"/>
  </r>
  <r>
    <x v="5"/>
    <x v="10"/>
    <x v="2"/>
    <x v="1"/>
    <s v="SUV"/>
    <x v="1"/>
    <n v="52297"/>
    <n v="171225"/>
    <n v="271"/>
    <n v="0.97"/>
    <n v="6.29"/>
    <n v="1.2"/>
    <n v="7"/>
    <x v="423"/>
    <x v="0"/>
    <n v="52924.563999999998"/>
  </r>
  <r>
    <x v="0"/>
    <x v="6"/>
    <x v="2"/>
    <x v="2"/>
    <s v="SUV"/>
    <x v="0"/>
    <n v="106894"/>
    <n v="379061"/>
    <n v="35"/>
    <n v="0.97"/>
    <n v="6.29"/>
    <n v="1.2"/>
    <n v="2"/>
    <x v="296"/>
    <x v="1"/>
    <n v="96204.6"/>
  </r>
  <r>
    <x v="5"/>
    <x v="6"/>
    <x v="3"/>
    <x v="4"/>
    <s v="Sedan"/>
    <x v="1"/>
    <n v="98772"/>
    <n v="385834"/>
    <n v="149"/>
    <n v="0.97"/>
    <n v="6.29"/>
    <n v="1.2"/>
    <n v="2"/>
    <x v="373"/>
    <x v="1"/>
    <n v="88894.8"/>
  </r>
  <r>
    <x v="7"/>
    <x v="3"/>
    <x v="3"/>
    <x v="6"/>
    <s v="SUV"/>
    <x v="2"/>
    <n v="54581"/>
    <n v="346379"/>
    <n v="108"/>
    <n v="0.97"/>
    <n v="6.29"/>
    <n v="1.2"/>
    <n v="4"/>
    <x v="317"/>
    <x v="0"/>
    <n v="55235.972000000002"/>
  </r>
  <r>
    <x v="4"/>
    <x v="5"/>
    <x v="8"/>
    <x v="0"/>
    <s v="Electric"/>
    <x v="3"/>
    <n v="90192"/>
    <n v="260047"/>
    <n v="287"/>
    <n v="0.97"/>
    <n v="6.29"/>
    <n v="1.2"/>
    <n v="9"/>
    <x v="364"/>
    <x v="0"/>
    <n v="91274.304000000004"/>
  </r>
  <r>
    <x v="1"/>
    <x v="10"/>
    <x v="6"/>
    <x v="9"/>
    <s v="Electric"/>
    <x v="3"/>
    <n v="36462"/>
    <n v="69122"/>
    <n v="60"/>
    <n v="0.97"/>
    <n v="6.29"/>
    <n v="1.2"/>
    <n v="8"/>
    <x v="424"/>
    <x v="0"/>
    <n v="36899.544000000002"/>
  </r>
  <r>
    <x v="2"/>
    <x v="11"/>
    <x v="6"/>
    <x v="7"/>
    <s v="Sedan"/>
    <x v="3"/>
    <n v="99173"/>
    <n v="336100"/>
    <n v="160"/>
    <n v="0.97"/>
    <n v="6.29"/>
    <n v="1.2"/>
    <n v="2"/>
    <x v="425"/>
    <x v="1"/>
    <n v="89255.7"/>
  </r>
  <r>
    <x v="9"/>
    <x v="4"/>
    <x v="6"/>
    <x v="3"/>
    <s v="Electric"/>
    <x v="2"/>
    <n v="50511"/>
    <n v="113879"/>
    <n v="113"/>
    <n v="0.97"/>
    <n v="6.29"/>
    <n v="1.2"/>
    <n v="8"/>
    <x v="426"/>
    <x v="0"/>
    <n v="51117.131999999998"/>
  </r>
  <r>
    <x v="0"/>
    <x v="11"/>
    <x v="8"/>
    <x v="7"/>
    <s v="Sedan"/>
    <x v="2"/>
    <n v="111106"/>
    <n v="108560"/>
    <n v="98"/>
    <n v="0.97"/>
    <n v="6.29"/>
    <n v="1.2"/>
    <n v="4"/>
    <x v="427"/>
    <x v="0"/>
    <n v="112439.272"/>
  </r>
  <r>
    <x v="8"/>
    <x v="2"/>
    <x v="1"/>
    <x v="4"/>
    <s v="SUV"/>
    <x v="2"/>
    <n v="83665"/>
    <n v="422454"/>
    <n v="150"/>
    <n v="0.97"/>
    <n v="6.29"/>
    <n v="1.2"/>
    <n v="2"/>
    <x v="428"/>
    <x v="1"/>
    <n v="75298.5"/>
  </r>
  <r>
    <x v="5"/>
    <x v="10"/>
    <x v="2"/>
    <x v="6"/>
    <s v="SUV"/>
    <x v="2"/>
    <n v="79414"/>
    <n v="249757"/>
    <n v="222"/>
    <n v="0.97"/>
    <n v="6.29"/>
    <n v="1.2"/>
    <n v="10"/>
    <x v="121"/>
    <x v="0"/>
    <n v="80366.968000000008"/>
  </r>
  <r>
    <x v="9"/>
    <x v="11"/>
    <x v="7"/>
    <x v="4"/>
    <s v="SUV"/>
    <x v="2"/>
    <n v="116010"/>
    <n v="467876"/>
    <n v="242"/>
    <n v="0.97"/>
    <n v="6.29"/>
    <n v="1.2"/>
    <n v="7"/>
    <x v="162"/>
    <x v="0"/>
    <n v="117402.12"/>
  </r>
  <r>
    <x v="8"/>
    <x v="3"/>
    <x v="5"/>
    <x v="0"/>
    <s v="Electric"/>
    <x v="1"/>
    <n v="107573"/>
    <n v="287268"/>
    <n v="192"/>
    <n v="0.97"/>
    <n v="6.29"/>
    <n v="1.2"/>
    <n v="6"/>
    <x v="411"/>
    <x v="0"/>
    <n v="108863.876"/>
  </r>
  <r>
    <x v="9"/>
    <x v="0"/>
    <x v="2"/>
    <x v="1"/>
    <s v="Sedan"/>
    <x v="2"/>
    <n v="48386"/>
    <n v="313312"/>
    <n v="260"/>
    <n v="0.97"/>
    <n v="6.29"/>
    <n v="1.2"/>
    <n v="10"/>
    <x v="236"/>
    <x v="0"/>
    <n v="48966.631999999998"/>
  </r>
  <r>
    <x v="2"/>
    <x v="7"/>
    <x v="3"/>
    <x v="3"/>
    <s v="SUV"/>
    <x v="2"/>
    <n v="89460"/>
    <n v="357268"/>
    <n v="18"/>
    <n v="0.97"/>
    <n v="6.29"/>
    <n v="1.2"/>
    <n v="5"/>
    <x v="429"/>
    <x v="0"/>
    <n v="90533.52"/>
  </r>
  <r>
    <x v="8"/>
    <x v="0"/>
    <x v="4"/>
    <x v="0"/>
    <s v="Sedan"/>
    <x v="2"/>
    <n v="41221"/>
    <n v="216969"/>
    <n v="88"/>
    <n v="0.97"/>
    <n v="6.29"/>
    <n v="1.2"/>
    <n v="1"/>
    <x v="430"/>
    <x v="2"/>
    <n v="41221"/>
  </r>
  <r>
    <x v="6"/>
    <x v="1"/>
    <x v="9"/>
    <x v="9"/>
    <s v="SUV"/>
    <x v="2"/>
    <n v="58474"/>
    <n v="196104"/>
    <n v="61"/>
    <n v="0.97"/>
    <n v="6.29"/>
    <n v="1.2"/>
    <n v="2"/>
    <x v="178"/>
    <x v="2"/>
    <n v="58474"/>
  </r>
  <r>
    <x v="3"/>
    <x v="11"/>
    <x v="8"/>
    <x v="9"/>
    <s v="Electric"/>
    <x v="3"/>
    <n v="56045"/>
    <n v="364941"/>
    <n v="395"/>
    <n v="0.97"/>
    <n v="6.29"/>
    <n v="1.2"/>
    <n v="8"/>
    <x v="431"/>
    <x v="0"/>
    <n v="56717.54"/>
  </r>
  <r>
    <x v="6"/>
    <x v="2"/>
    <x v="0"/>
    <x v="4"/>
    <s v="Electric"/>
    <x v="2"/>
    <n v="39922"/>
    <n v="347438"/>
    <n v="278"/>
    <n v="0.97"/>
    <n v="6.29"/>
    <n v="1.2"/>
    <n v="1"/>
    <x v="420"/>
    <x v="1"/>
    <n v="35929.800000000003"/>
  </r>
  <r>
    <x v="4"/>
    <x v="1"/>
    <x v="4"/>
    <x v="6"/>
    <s v="Sedan"/>
    <x v="1"/>
    <n v="57706"/>
    <n v="487043"/>
    <n v="235"/>
    <n v="0.97"/>
    <n v="6.29"/>
    <n v="1.2"/>
    <n v="3"/>
    <x v="432"/>
    <x v="0"/>
    <n v="58398.472000000002"/>
  </r>
  <r>
    <x v="3"/>
    <x v="9"/>
    <x v="5"/>
    <x v="0"/>
    <s v="Electric"/>
    <x v="1"/>
    <n v="77771"/>
    <n v="315660"/>
    <n v="60"/>
    <n v="0.97"/>
    <n v="6.29"/>
    <n v="1.2"/>
    <n v="2"/>
    <x v="46"/>
    <x v="1"/>
    <n v="69993.900000000009"/>
  </r>
  <r>
    <x v="6"/>
    <x v="8"/>
    <x v="6"/>
    <x v="5"/>
    <s v="Electric"/>
    <x v="1"/>
    <n v="87335"/>
    <n v="200823"/>
    <n v="195"/>
    <n v="0.97"/>
    <n v="6.29"/>
    <n v="1.2"/>
    <n v="5"/>
    <x v="96"/>
    <x v="0"/>
    <n v="88383.02"/>
  </r>
  <r>
    <x v="3"/>
    <x v="9"/>
    <x v="3"/>
    <x v="6"/>
    <s v="Sedan"/>
    <x v="0"/>
    <n v="87949"/>
    <n v="80373"/>
    <n v="43"/>
    <n v="0.97"/>
    <n v="6.29"/>
    <n v="1.2"/>
    <n v="4"/>
    <x v="237"/>
    <x v="0"/>
    <n v="89004.388000000006"/>
  </r>
  <r>
    <x v="3"/>
    <x v="10"/>
    <x v="3"/>
    <x v="1"/>
    <s v="SUV"/>
    <x v="3"/>
    <n v="105714"/>
    <n v="172026"/>
    <n v="300"/>
    <n v="0.97"/>
    <n v="6.29"/>
    <n v="1.2"/>
    <n v="7"/>
    <x v="268"/>
    <x v="0"/>
    <n v="106982.568"/>
  </r>
  <r>
    <x v="1"/>
    <x v="6"/>
    <x v="3"/>
    <x v="9"/>
    <s v="Electric"/>
    <x v="2"/>
    <n v="50240"/>
    <n v="80270"/>
    <n v="239"/>
    <n v="0.97"/>
    <n v="6.29"/>
    <n v="1.2"/>
    <n v="5"/>
    <x v="433"/>
    <x v="0"/>
    <n v="50842.879999999997"/>
  </r>
  <r>
    <x v="5"/>
    <x v="7"/>
    <x v="6"/>
    <x v="4"/>
    <s v="Sedan"/>
    <x v="0"/>
    <n v="37716"/>
    <n v="453602"/>
    <n v="140"/>
    <n v="0.97"/>
    <n v="6.29"/>
    <n v="1.2"/>
    <n v="8"/>
    <x v="434"/>
    <x v="0"/>
    <n v="38168.591999999997"/>
  </r>
  <r>
    <x v="5"/>
    <x v="11"/>
    <x v="0"/>
    <x v="8"/>
    <s v="Electric"/>
    <x v="2"/>
    <n v="51574"/>
    <n v="282931"/>
    <n v="129"/>
    <n v="0.97"/>
    <n v="6.29"/>
    <n v="1.2"/>
    <n v="4"/>
    <x v="435"/>
    <x v="0"/>
    <n v="52192.887999999999"/>
  </r>
  <r>
    <x v="1"/>
    <x v="2"/>
    <x v="8"/>
    <x v="9"/>
    <s v="Electric"/>
    <x v="0"/>
    <n v="118255"/>
    <n v="245889"/>
    <n v="335"/>
    <n v="0.97"/>
    <n v="6.29"/>
    <n v="1.2"/>
    <n v="6"/>
    <x v="436"/>
    <x v="0"/>
    <n v="119674.06"/>
  </r>
  <r>
    <x v="9"/>
    <x v="2"/>
    <x v="4"/>
    <x v="3"/>
    <s v="Electric"/>
    <x v="0"/>
    <n v="108717"/>
    <n v="115184"/>
    <n v="256"/>
    <n v="0.97"/>
    <n v="6.29"/>
    <n v="1.2"/>
    <n v="4"/>
    <x v="131"/>
    <x v="0"/>
    <n v="110021.60400000001"/>
  </r>
  <r>
    <x v="7"/>
    <x v="5"/>
    <x v="6"/>
    <x v="2"/>
    <s v="Electric"/>
    <x v="1"/>
    <n v="79066"/>
    <n v="260765"/>
    <n v="201"/>
    <n v="0.97"/>
    <n v="6.29"/>
    <n v="1.2"/>
    <n v="2"/>
    <x v="437"/>
    <x v="2"/>
    <n v="79066"/>
  </r>
  <r>
    <x v="9"/>
    <x v="8"/>
    <x v="5"/>
    <x v="8"/>
    <s v="Sedan"/>
    <x v="1"/>
    <n v="96826"/>
    <n v="87879"/>
    <n v="332"/>
    <n v="0.97"/>
    <n v="6.29"/>
    <n v="1.2"/>
    <n v="1"/>
    <x v="413"/>
    <x v="2"/>
    <n v="96826"/>
  </r>
  <r>
    <x v="8"/>
    <x v="4"/>
    <x v="8"/>
    <x v="4"/>
    <s v="Sedan"/>
    <x v="0"/>
    <n v="55213"/>
    <n v="361741"/>
    <n v="219"/>
    <n v="0.97"/>
    <n v="6.29"/>
    <n v="1.2"/>
    <n v="1"/>
    <x v="378"/>
    <x v="1"/>
    <n v="49691.700000000004"/>
  </r>
  <r>
    <x v="8"/>
    <x v="4"/>
    <x v="5"/>
    <x v="5"/>
    <s v="Sedan"/>
    <x v="1"/>
    <n v="106916"/>
    <n v="482348"/>
    <n v="112"/>
    <n v="0.97"/>
    <n v="6.29"/>
    <n v="1.2"/>
    <n v="8"/>
    <x v="135"/>
    <x v="0"/>
    <n v="108198.992"/>
  </r>
  <r>
    <x v="3"/>
    <x v="4"/>
    <x v="8"/>
    <x v="8"/>
    <s v="Electric"/>
    <x v="0"/>
    <n v="101151"/>
    <n v="53626"/>
    <n v="338"/>
    <n v="0.97"/>
    <n v="6.29"/>
    <n v="1.2"/>
    <n v="4"/>
    <x v="438"/>
    <x v="0"/>
    <n v="102364.81200000001"/>
  </r>
  <r>
    <x v="6"/>
    <x v="11"/>
    <x v="0"/>
    <x v="3"/>
    <s v="Electric"/>
    <x v="3"/>
    <n v="85906"/>
    <n v="135936"/>
    <n v="381"/>
    <n v="0.97"/>
    <n v="6.29"/>
    <n v="1.2"/>
    <n v="5"/>
    <x v="439"/>
    <x v="0"/>
    <n v="86936.872000000003"/>
  </r>
  <r>
    <x v="6"/>
    <x v="4"/>
    <x v="9"/>
    <x v="6"/>
    <s v="Electric"/>
    <x v="1"/>
    <n v="35463"/>
    <n v="284873"/>
    <n v="142"/>
    <n v="0.97"/>
    <n v="6.29"/>
    <n v="1.2"/>
    <n v="8"/>
    <x v="16"/>
    <x v="0"/>
    <n v="35888.555999999997"/>
  </r>
  <r>
    <x v="5"/>
    <x v="3"/>
    <x v="5"/>
    <x v="5"/>
    <s v="Sedan"/>
    <x v="1"/>
    <n v="66973"/>
    <n v="131515"/>
    <n v="332"/>
    <n v="0.97"/>
    <n v="6.29"/>
    <n v="1.2"/>
    <n v="7"/>
    <x v="432"/>
    <x v="0"/>
    <n v="67776.676000000007"/>
  </r>
  <r>
    <x v="0"/>
    <x v="0"/>
    <x v="6"/>
    <x v="9"/>
    <s v="Electric"/>
    <x v="1"/>
    <n v="109694"/>
    <n v="258137"/>
    <n v="148"/>
    <n v="0.97"/>
    <n v="6.29"/>
    <n v="1.2"/>
    <n v="8"/>
    <x v="440"/>
    <x v="0"/>
    <n v="111010.32799999999"/>
  </r>
  <r>
    <x v="9"/>
    <x v="2"/>
    <x v="8"/>
    <x v="5"/>
    <s v="SUV"/>
    <x v="3"/>
    <n v="55651"/>
    <n v="105390"/>
    <n v="130"/>
    <n v="0.97"/>
    <n v="6.29"/>
    <n v="1.2"/>
    <n v="8"/>
    <x v="175"/>
    <x v="0"/>
    <n v="56318.811999999998"/>
  </r>
  <r>
    <x v="4"/>
    <x v="8"/>
    <x v="3"/>
    <x v="0"/>
    <s v="Electric"/>
    <x v="0"/>
    <n v="103694"/>
    <n v="459861"/>
    <n v="103"/>
    <n v="0.97"/>
    <n v="6.29"/>
    <n v="1.2"/>
    <n v="6"/>
    <x v="157"/>
    <x v="0"/>
    <n v="104938.32799999999"/>
  </r>
  <r>
    <x v="2"/>
    <x v="0"/>
    <x v="2"/>
    <x v="3"/>
    <s v="SUV"/>
    <x v="2"/>
    <n v="55008"/>
    <n v="273032"/>
    <n v="138"/>
    <n v="0.97"/>
    <n v="6.29"/>
    <n v="1.2"/>
    <n v="10"/>
    <x v="293"/>
    <x v="0"/>
    <n v="55668.095999999998"/>
  </r>
  <r>
    <x v="6"/>
    <x v="6"/>
    <x v="3"/>
    <x v="8"/>
    <s v="Electric"/>
    <x v="1"/>
    <n v="105474"/>
    <n v="104144"/>
    <n v="100"/>
    <n v="0.97"/>
    <n v="6.29"/>
    <n v="1.2"/>
    <n v="2"/>
    <x v="250"/>
    <x v="2"/>
    <n v="105474"/>
  </r>
  <r>
    <x v="2"/>
    <x v="8"/>
    <x v="1"/>
    <x v="0"/>
    <s v="Sedan"/>
    <x v="0"/>
    <n v="73185"/>
    <n v="194454"/>
    <n v="101"/>
    <n v="0.97"/>
    <n v="6.29"/>
    <n v="1.2"/>
    <n v="6"/>
    <x v="373"/>
    <x v="0"/>
    <n v="74063.22"/>
  </r>
  <r>
    <x v="3"/>
    <x v="0"/>
    <x v="9"/>
    <x v="5"/>
    <s v="Electric"/>
    <x v="3"/>
    <n v="109417"/>
    <n v="54025"/>
    <n v="72"/>
    <n v="0.97"/>
    <n v="6.29"/>
    <n v="1.2"/>
    <n v="1"/>
    <x v="441"/>
    <x v="2"/>
    <n v="109417"/>
  </r>
  <r>
    <x v="2"/>
    <x v="8"/>
    <x v="9"/>
    <x v="0"/>
    <s v="SUV"/>
    <x v="2"/>
    <n v="106139"/>
    <n v="486442"/>
    <n v="38"/>
    <n v="0.97"/>
    <n v="6.29"/>
    <n v="1.2"/>
    <n v="1"/>
    <x v="213"/>
    <x v="1"/>
    <n v="95525.1"/>
  </r>
  <r>
    <x v="4"/>
    <x v="6"/>
    <x v="3"/>
    <x v="7"/>
    <s v="SUV"/>
    <x v="1"/>
    <n v="69980"/>
    <n v="391524"/>
    <n v="219"/>
    <n v="0.97"/>
    <n v="6.29"/>
    <n v="1.2"/>
    <n v="3"/>
    <x v="442"/>
    <x v="0"/>
    <n v="70819.759999999995"/>
  </r>
  <r>
    <x v="1"/>
    <x v="1"/>
    <x v="4"/>
    <x v="3"/>
    <s v="Electric"/>
    <x v="3"/>
    <n v="57504"/>
    <n v="304043"/>
    <n v="21"/>
    <n v="0.97"/>
    <n v="6.29"/>
    <n v="1.2"/>
    <n v="3"/>
    <x v="443"/>
    <x v="0"/>
    <n v="58194.048000000003"/>
  </r>
  <r>
    <x v="4"/>
    <x v="3"/>
    <x v="0"/>
    <x v="1"/>
    <s v="SUV"/>
    <x v="3"/>
    <n v="89970"/>
    <n v="168910"/>
    <n v="342"/>
    <n v="0.97"/>
    <n v="6.29"/>
    <n v="1.2"/>
    <n v="5"/>
    <x v="414"/>
    <x v="0"/>
    <n v="91049.64"/>
  </r>
  <r>
    <x v="2"/>
    <x v="11"/>
    <x v="5"/>
    <x v="6"/>
    <s v="SUV"/>
    <x v="2"/>
    <n v="51766"/>
    <n v="146055"/>
    <n v="306"/>
    <n v="0.97"/>
    <n v="6.29"/>
    <n v="1.2"/>
    <n v="1"/>
    <x v="253"/>
    <x v="2"/>
    <n v="51766"/>
  </r>
  <r>
    <x v="4"/>
    <x v="11"/>
    <x v="6"/>
    <x v="5"/>
    <s v="Sedan"/>
    <x v="0"/>
    <n v="46695"/>
    <n v="438333"/>
    <n v="139"/>
    <n v="0.97"/>
    <n v="6.29"/>
    <n v="1.2"/>
    <n v="10"/>
    <x v="444"/>
    <x v="0"/>
    <n v="47255.340000000004"/>
  </r>
  <r>
    <x v="7"/>
    <x v="2"/>
    <x v="9"/>
    <x v="3"/>
    <s v="Electric"/>
    <x v="1"/>
    <n v="52796"/>
    <n v="255782"/>
    <n v="302"/>
    <n v="0.97"/>
    <n v="6.29"/>
    <n v="1.2"/>
    <n v="6"/>
    <x v="337"/>
    <x v="0"/>
    <n v="53429.552000000003"/>
  </r>
  <r>
    <x v="3"/>
    <x v="4"/>
    <x v="3"/>
    <x v="1"/>
    <s v="Electric"/>
    <x v="1"/>
    <n v="77543"/>
    <n v="446659"/>
    <n v="182"/>
    <n v="0.97"/>
    <n v="6.29"/>
    <n v="1.2"/>
    <n v="7"/>
    <x v="445"/>
    <x v="0"/>
    <n v="78473.516000000003"/>
  </r>
  <r>
    <x v="9"/>
    <x v="3"/>
    <x v="3"/>
    <x v="1"/>
    <s v="Electric"/>
    <x v="0"/>
    <n v="49559"/>
    <n v="333539"/>
    <n v="217"/>
    <n v="0.97"/>
    <n v="6.29"/>
    <n v="1.2"/>
    <n v="10"/>
    <x v="418"/>
    <x v="0"/>
    <n v="50153.707999999999"/>
  </r>
  <r>
    <x v="1"/>
    <x v="9"/>
    <x v="0"/>
    <x v="4"/>
    <s v="SUV"/>
    <x v="0"/>
    <n v="68139"/>
    <n v="322869"/>
    <n v="33"/>
    <n v="0.97"/>
    <n v="6.29"/>
    <n v="1.2"/>
    <n v="3"/>
    <x v="446"/>
    <x v="0"/>
    <n v="68956.668000000005"/>
  </r>
  <r>
    <x v="6"/>
    <x v="4"/>
    <x v="0"/>
    <x v="0"/>
    <s v="Electric"/>
    <x v="0"/>
    <n v="43802"/>
    <n v="83461"/>
    <n v="108"/>
    <n v="0.97"/>
    <n v="6.29"/>
    <n v="1.2"/>
    <n v="4"/>
    <x v="447"/>
    <x v="0"/>
    <n v="44327.624000000003"/>
  </r>
  <r>
    <x v="8"/>
    <x v="2"/>
    <x v="7"/>
    <x v="1"/>
    <s v="Electric"/>
    <x v="2"/>
    <n v="108843"/>
    <n v="308072"/>
    <n v="365"/>
    <n v="0.97"/>
    <n v="6.29"/>
    <n v="1.2"/>
    <n v="10"/>
    <x v="85"/>
    <x v="0"/>
    <n v="110149.11599999999"/>
  </r>
  <r>
    <x v="9"/>
    <x v="10"/>
    <x v="7"/>
    <x v="7"/>
    <s v="Sedan"/>
    <x v="2"/>
    <n v="75205"/>
    <n v="91115"/>
    <n v="148"/>
    <n v="0.97"/>
    <n v="6.29"/>
    <n v="1.2"/>
    <n v="10"/>
    <x v="426"/>
    <x v="0"/>
    <n v="76107.460000000006"/>
  </r>
  <r>
    <x v="8"/>
    <x v="3"/>
    <x v="4"/>
    <x v="3"/>
    <s v="Sedan"/>
    <x v="1"/>
    <n v="69159"/>
    <n v="160084"/>
    <n v="323"/>
    <n v="0.97"/>
    <n v="6.29"/>
    <n v="1.2"/>
    <n v="10"/>
    <x v="448"/>
    <x v="0"/>
    <n v="69988.907999999996"/>
  </r>
  <r>
    <x v="3"/>
    <x v="0"/>
    <x v="4"/>
    <x v="2"/>
    <s v="Sedan"/>
    <x v="2"/>
    <n v="46516"/>
    <n v="395876"/>
    <n v="183"/>
    <n v="0.97"/>
    <n v="6.29"/>
    <n v="1.2"/>
    <n v="10"/>
    <x v="449"/>
    <x v="0"/>
    <n v="47074.192000000003"/>
  </r>
  <r>
    <x v="1"/>
    <x v="8"/>
    <x v="1"/>
    <x v="2"/>
    <s v="SUV"/>
    <x v="3"/>
    <n v="85492"/>
    <n v="391701"/>
    <n v="38"/>
    <n v="0.97"/>
    <n v="6.29"/>
    <n v="1.2"/>
    <n v="10"/>
    <x v="450"/>
    <x v="0"/>
    <n v="86517.903999999995"/>
  </r>
  <r>
    <x v="5"/>
    <x v="9"/>
    <x v="4"/>
    <x v="5"/>
    <s v="Electric"/>
    <x v="1"/>
    <n v="64086"/>
    <n v="383404"/>
    <n v="152"/>
    <n v="0.97"/>
    <n v="6.29"/>
    <n v="1.2"/>
    <n v="3"/>
    <x v="427"/>
    <x v="0"/>
    <n v="64855.031999999999"/>
  </r>
  <r>
    <x v="6"/>
    <x v="3"/>
    <x v="8"/>
    <x v="9"/>
    <s v="Sedan"/>
    <x v="2"/>
    <n v="65480"/>
    <n v="209762"/>
    <n v="325"/>
    <n v="0.97"/>
    <n v="6.29"/>
    <n v="1.2"/>
    <n v="1"/>
    <x v="451"/>
    <x v="2"/>
    <n v="65480"/>
  </r>
  <r>
    <x v="7"/>
    <x v="6"/>
    <x v="0"/>
    <x v="0"/>
    <s v="Sedan"/>
    <x v="0"/>
    <n v="87091"/>
    <n v="313551"/>
    <n v="360"/>
    <n v="0.97"/>
    <n v="6.29"/>
    <n v="1.2"/>
    <n v="8"/>
    <x v="452"/>
    <x v="0"/>
    <n v="88136.092000000004"/>
  </r>
  <r>
    <x v="5"/>
    <x v="10"/>
    <x v="6"/>
    <x v="9"/>
    <s v="Sedan"/>
    <x v="3"/>
    <n v="82766"/>
    <n v="123568"/>
    <n v="51"/>
    <n v="0.97"/>
    <n v="6.29"/>
    <n v="1.2"/>
    <n v="10"/>
    <x v="453"/>
    <x v="0"/>
    <n v="83759.191999999995"/>
  </r>
  <r>
    <x v="3"/>
    <x v="6"/>
    <x v="8"/>
    <x v="1"/>
    <s v="Electric"/>
    <x v="0"/>
    <n v="73737"/>
    <n v="108560"/>
    <n v="308"/>
    <n v="0.97"/>
    <n v="6.29"/>
    <n v="1.2"/>
    <n v="10"/>
    <x v="454"/>
    <x v="0"/>
    <n v="74621.843999999997"/>
  </r>
  <r>
    <x v="9"/>
    <x v="11"/>
    <x v="5"/>
    <x v="3"/>
    <s v="Electric"/>
    <x v="1"/>
    <n v="44265"/>
    <n v="490556"/>
    <n v="217"/>
    <n v="0.97"/>
    <n v="6.29"/>
    <n v="1.2"/>
    <n v="2"/>
    <x v="455"/>
    <x v="1"/>
    <n v="39838.5"/>
  </r>
  <r>
    <x v="7"/>
    <x v="11"/>
    <x v="3"/>
    <x v="5"/>
    <s v="Electric"/>
    <x v="0"/>
    <n v="105990"/>
    <n v="198866"/>
    <n v="339"/>
    <n v="0.97"/>
    <n v="6.29"/>
    <n v="1.2"/>
    <n v="1"/>
    <x v="456"/>
    <x v="2"/>
    <n v="105990"/>
  </r>
  <r>
    <x v="4"/>
    <x v="4"/>
    <x v="4"/>
    <x v="8"/>
    <s v="SUV"/>
    <x v="2"/>
    <n v="50386"/>
    <n v="200953"/>
    <n v="201"/>
    <n v="0.97"/>
    <n v="6.29"/>
    <n v="1.2"/>
    <n v="8"/>
    <x v="169"/>
    <x v="0"/>
    <n v="50990.631999999998"/>
  </r>
  <r>
    <x v="2"/>
    <x v="0"/>
    <x v="3"/>
    <x v="1"/>
    <s v="SUV"/>
    <x v="2"/>
    <n v="72425"/>
    <n v="267364"/>
    <n v="169"/>
    <n v="0.97"/>
    <n v="6.29"/>
    <n v="1.2"/>
    <n v="7"/>
    <x v="309"/>
    <x v="0"/>
    <n v="73294.100000000006"/>
  </r>
  <r>
    <x v="7"/>
    <x v="9"/>
    <x v="9"/>
    <x v="0"/>
    <s v="Sedan"/>
    <x v="1"/>
    <n v="78254"/>
    <n v="286770"/>
    <n v="73"/>
    <n v="0.97"/>
    <n v="6.29"/>
    <n v="1.2"/>
    <n v="7"/>
    <x v="457"/>
    <x v="0"/>
    <n v="79193.047999999995"/>
  </r>
  <r>
    <x v="3"/>
    <x v="7"/>
    <x v="1"/>
    <x v="2"/>
    <s v="Electric"/>
    <x v="0"/>
    <n v="88634"/>
    <n v="276024"/>
    <n v="252"/>
    <n v="0.97"/>
    <n v="6.29"/>
    <n v="1.2"/>
    <n v="4"/>
    <x v="458"/>
    <x v="0"/>
    <n v="89697.608000000007"/>
  </r>
  <r>
    <x v="0"/>
    <x v="10"/>
    <x v="9"/>
    <x v="4"/>
    <s v="Sedan"/>
    <x v="1"/>
    <n v="82662"/>
    <n v="230775"/>
    <n v="267"/>
    <n v="0.97"/>
    <n v="6.29"/>
    <n v="1.2"/>
    <n v="9"/>
    <x v="420"/>
    <x v="0"/>
    <n v="83653.944000000003"/>
  </r>
  <r>
    <x v="2"/>
    <x v="10"/>
    <x v="1"/>
    <x v="3"/>
    <s v="Electric"/>
    <x v="0"/>
    <n v="110452"/>
    <n v="487570"/>
    <n v="161"/>
    <n v="0.97"/>
    <n v="6.29"/>
    <n v="1.2"/>
    <n v="6"/>
    <x v="459"/>
    <x v="0"/>
    <n v="111777.424"/>
  </r>
  <r>
    <x v="8"/>
    <x v="3"/>
    <x v="7"/>
    <x v="6"/>
    <s v="Electric"/>
    <x v="3"/>
    <n v="45143"/>
    <n v="141288"/>
    <n v="224"/>
    <n v="0.97"/>
    <n v="6.29"/>
    <n v="1.2"/>
    <n v="2"/>
    <x v="61"/>
    <x v="2"/>
    <n v="45143"/>
  </r>
  <r>
    <x v="6"/>
    <x v="4"/>
    <x v="3"/>
    <x v="9"/>
    <s v="Electric"/>
    <x v="2"/>
    <n v="50581"/>
    <n v="431164"/>
    <n v="331"/>
    <n v="0.97"/>
    <n v="6.29"/>
    <n v="1.2"/>
    <n v="1"/>
    <x v="460"/>
    <x v="1"/>
    <n v="45522.9"/>
  </r>
  <r>
    <x v="8"/>
    <x v="11"/>
    <x v="1"/>
    <x v="5"/>
    <s v="SUV"/>
    <x v="1"/>
    <n v="102443"/>
    <n v="411445"/>
    <n v="175"/>
    <n v="0.97"/>
    <n v="6.29"/>
    <n v="1.2"/>
    <n v="1"/>
    <x v="270"/>
    <x v="1"/>
    <n v="92198.7"/>
  </r>
  <r>
    <x v="7"/>
    <x v="4"/>
    <x v="2"/>
    <x v="9"/>
    <s v="SUV"/>
    <x v="3"/>
    <n v="64424"/>
    <n v="299836"/>
    <n v="40"/>
    <n v="0.97"/>
    <n v="6.29"/>
    <n v="1.2"/>
    <n v="9"/>
    <x v="461"/>
    <x v="0"/>
    <n v="65197.088000000003"/>
  </r>
  <r>
    <x v="8"/>
    <x v="8"/>
    <x v="8"/>
    <x v="3"/>
    <s v="Electric"/>
    <x v="3"/>
    <n v="76984"/>
    <n v="64390"/>
    <n v="380"/>
    <n v="0.97"/>
    <n v="6.29"/>
    <n v="1.2"/>
    <n v="4"/>
    <x v="462"/>
    <x v="0"/>
    <n v="77907.808000000005"/>
  </r>
  <r>
    <x v="3"/>
    <x v="3"/>
    <x v="1"/>
    <x v="9"/>
    <s v="Sedan"/>
    <x v="1"/>
    <n v="76505"/>
    <n v="268547"/>
    <n v="241"/>
    <n v="0.97"/>
    <n v="6.29"/>
    <n v="1.2"/>
    <n v="5"/>
    <x v="463"/>
    <x v="0"/>
    <n v="77423.06"/>
  </r>
  <r>
    <x v="4"/>
    <x v="3"/>
    <x v="1"/>
    <x v="3"/>
    <s v="Electric"/>
    <x v="1"/>
    <n v="97699"/>
    <n v="77307"/>
    <n v="291"/>
    <n v="0.97"/>
    <n v="6.29"/>
    <n v="1.2"/>
    <n v="3"/>
    <x v="3"/>
    <x v="0"/>
    <n v="98871.388000000006"/>
  </r>
  <r>
    <x v="9"/>
    <x v="9"/>
    <x v="8"/>
    <x v="9"/>
    <s v="Electric"/>
    <x v="3"/>
    <n v="61957"/>
    <n v="277436"/>
    <n v="38"/>
    <n v="0.97"/>
    <n v="6.29"/>
    <n v="1.2"/>
    <n v="4"/>
    <x v="207"/>
    <x v="0"/>
    <n v="62700.484000000004"/>
  </r>
  <r>
    <x v="6"/>
    <x v="0"/>
    <x v="3"/>
    <x v="7"/>
    <s v="Sedan"/>
    <x v="0"/>
    <n v="60464"/>
    <n v="275121"/>
    <n v="204"/>
    <n v="0.97"/>
    <n v="6.29"/>
    <n v="1.2"/>
    <n v="8"/>
    <x v="464"/>
    <x v="0"/>
    <n v="61189.567999999999"/>
  </r>
  <r>
    <x v="8"/>
    <x v="2"/>
    <x v="3"/>
    <x v="8"/>
    <s v="Electric"/>
    <x v="3"/>
    <n v="58649"/>
    <n v="301063"/>
    <n v="343"/>
    <n v="0.97"/>
    <n v="6.29"/>
    <n v="1.2"/>
    <n v="4"/>
    <x v="465"/>
    <x v="0"/>
    <n v="59352.788"/>
  </r>
  <r>
    <x v="8"/>
    <x v="1"/>
    <x v="8"/>
    <x v="1"/>
    <s v="Sedan"/>
    <x v="1"/>
    <n v="77065"/>
    <n v="74502"/>
    <n v="265"/>
    <n v="0.97"/>
    <n v="6.29"/>
    <n v="1.2"/>
    <n v="9"/>
    <x v="380"/>
    <x v="0"/>
    <n v="77989.78"/>
  </r>
  <r>
    <x v="7"/>
    <x v="2"/>
    <x v="9"/>
    <x v="1"/>
    <s v="SUV"/>
    <x v="3"/>
    <n v="69758"/>
    <n v="72486"/>
    <n v="290"/>
    <n v="0.97"/>
    <n v="6.29"/>
    <n v="1.2"/>
    <n v="9"/>
    <x v="316"/>
    <x v="0"/>
    <n v="70595.096000000005"/>
  </r>
  <r>
    <x v="9"/>
    <x v="5"/>
    <x v="2"/>
    <x v="0"/>
    <s v="SUV"/>
    <x v="0"/>
    <n v="40596"/>
    <n v="423957"/>
    <n v="313"/>
    <n v="0.97"/>
    <n v="6.29"/>
    <n v="1.2"/>
    <n v="6"/>
    <x v="132"/>
    <x v="0"/>
    <n v="41083.152000000002"/>
  </r>
  <r>
    <x v="5"/>
    <x v="5"/>
    <x v="6"/>
    <x v="6"/>
    <s v="Sedan"/>
    <x v="2"/>
    <n v="51374"/>
    <n v="219330"/>
    <n v="330"/>
    <n v="0.97"/>
    <n v="6.29"/>
    <n v="1.2"/>
    <n v="2"/>
    <x v="289"/>
    <x v="2"/>
    <n v="51374"/>
  </r>
  <r>
    <x v="8"/>
    <x v="3"/>
    <x v="5"/>
    <x v="6"/>
    <s v="SUV"/>
    <x v="2"/>
    <n v="38775"/>
    <n v="238788"/>
    <n v="332"/>
    <n v="0.97"/>
    <n v="6.29"/>
    <n v="1.2"/>
    <n v="10"/>
    <x v="455"/>
    <x v="0"/>
    <n v="39240.300000000003"/>
  </r>
  <r>
    <x v="3"/>
    <x v="4"/>
    <x v="2"/>
    <x v="0"/>
    <s v="SUV"/>
    <x v="3"/>
    <n v="62388"/>
    <n v="278300"/>
    <n v="355"/>
    <n v="0.97"/>
    <n v="6.29"/>
    <n v="1.2"/>
    <n v="7"/>
    <x v="329"/>
    <x v="0"/>
    <n v="63136.656000000003"/>
  </r>
  <r>
    <x v="0"/>
    <x v="8"/>
    <x v="3"/>
    <x v="4"/>
    <s v="Sedan"/>
    <x v="0"/>
    <n v="56029"/>
    <n v="153920"/>
    <n v="303"/>
    <n v="0.97"/>
    <n v="6.29"/>
    <n v="1.2"/>
    <n v="9"/>
    <x v="466"/>
    <x v="0"/>
    <n v="56701.347999999998"/>
  </r>
  <r>
    <x v="6"/>
    <x v="9"/>
    <x v="6"/>
    <x v="1"/>
    <s v="SUV"/>
    <x v="2"/>
    <n v="118981"/>
    <n v="262566"/>
    <n v="96"/>
    <n v="0.97"/>
    <n v="6.29"/>
    <n v="1.2"/>
    <n v="6"/>
    <x v="106"/>
    <x v="0"/>
    <n v="120408.772"/>
  </r>
  <r>
    <x v="8"/>
    <x v="7"/>
    <x v="7"/>
    <x v="4"/>
    <s v="Electric"/>
    <x v="3"/>
    <n v="88639"/>
    <n v="394912"/>
    <n v="158"/>
    <n v="0.97"/>
    <n v="6.29"/>
    <n v="1.2"/>
    <n v="3"/>
    <x v="467"/>
    <x v="0"/>
    <n v="89702.668000000005"/>
  </r>
  <r>
    <x v="3"/>
    <x v="5"/>
    <x v="4"/>
    <x v="3"/>
    <s v="Electric"/>
    <x v="3"/>
    <n v="49645"/>
    <n v="453964"/>
    <n v="258"/>
    <n v="0.97"/>
    <n v="6.29"/>
    <n v="1.2"/>
    <n v="7"/>
    <x v="468"/>
    <x v="0"/>
    <n v="50240.74"/>
  </r>
  <r>
    <x v="3"/>
    <x v="9"/>
    <x v="1"/>
    <x v="3"/>
    <s v="Sedan"/>
    <x v="0"/>
    <n v="66105"/>
    <n v="112785"/>
    <n v="330"/>
    <n v="0.97"/>
    <n v="6.29"/>
    <n v="1.2"/>
    <n v="5"/>
    <x v="469"/>
    <x v="0"/>
    <n v="66898.259999999995"/>
  </r>
  <r>
    <x v="6"/>
    <x v="3"/>
    <x v="8"/>
    <x v="2"/>
    <s v="SUV"/>
    <x v="1"/>
    <n v="48668"/>
    <n v="126050"/>
    <n v="292"/>
    <n v="0.97"/>
    <n v="6.29"/>
    <n v="1.2"/>
    <n v="1"/>
    <x v="470"/>
    <x v="2"/>
    <n v="48668"/>
  </r>
  <r>
    <x v="5"/>
    <x v="0"/>
    <x v="8"/>
    <x v="9"/>
    <s v="Electric"/>
    <x v="3"/>
    <n v="50960"/>
    <n v="72738"/>
    <n v="371"/>
    <n v="0.97"/>
    <n v="6.29"/>
    <n v="1.2"/>
    <n v="3"/>
    <x v="411"/>
    <x v="0"/>
    <n v="51571.520000000004"/>
  </r>
  <r>
    <x v="3"/>
    <x v="6"/>
    <x v="1"/>
    <x v="6"/>
    <s v="Electric"/>
    <x v="1"/>
    <n v="46357"/>
    <n v="124231"/>
    <n v="388"/>
    <n v="0.97"/>
    <n v="6.29"/>
    <n v="1.2"/>
    <n v="5"/>
    <x v="471"/>
    <x v="0"/>
    <n v="46913.284"/>
  </r>
  <r>
    <x v="0"/>
    <x v="2"/>
    <x v="4"/>
    <x v="2"/>
    <s v="SUV"/>
    <x v="1"/>
    <n v="99604"/>
    <n v="123606"/>
    <n v="207"/>
    <n v="0.97"/>
    <n v="6.29"/>
    <n v="1.2"/>
    <n v="7"/>
    <x v="472"/>
    <x v="0"/>
    <n v="100799.24800000001"/>
  </r>
  <r>
    <x v="3"/>
    <x v="8"/>
    <x v="5"/>
    <x v="8"/>
    <s v="SUV"/>
    <x v="2"/>
    <n v="86796"/>
    <n v="353806"/>
    <n v="53"/>
    <n v="0.97"/>
    <n v="6.29"/>
    <n v="1.2"/>
    <n v="3"/>
    <x v="133"/>
    <x v="0"/>
    <n v="87837.551999999996"/>
  </r>
  <r>
    <x v="3"/>
    <x v="11"/>
    <x v="4"/>
    <x v="0"/>
    <s v="Electric"/>
    <x v="1"/>
    <n v="50804"/>
    <n v="430457"/>
    <n v="365"/>
    <n v="0.97"/>
    <n v="6.29"/>
    <n v="1.2"/>
    <n v="6"/>
    <x v="473"/>
    <x v="0"/>
    <n v="51413.648000000001"/>
  </r>
  <r>
    <x v="3"/>
    <x v="9"/>
    <x v="6"/>
    <x v="0"/>
    <s v="Electric"/>
    <x v="0"/>
    <n v="49626"/>
    <n v="277369"/>
    <n v="37"/>
    <n v="0.97"/>
    <n v="6.29"/>
    <n v="1.2"/>
    <n v="5"/>
    <x v="474"/>
    <x v="0"/>
    <n v="50221.512000000002"/>
  </r>
  <r>
    <x v="4"/>
    <x v="0"/>
    <x v="4"/>
    <x v="3"/>
    <s v="Sedan"/>
    <x v="2"/>
    <n v="63132"/>
    <n v="327267"/>
    <n v="26"/>
    <n v="0.97"/>
    <n v="6.29"/>
    <n v="1.2"/>
    <n v="1"/>
    <x v="397"/>
    <x v="1"/>
    <n v="56818.8"/>
  </r>
  <r>
    <x v="4"/>
    <x v="7"/>
    <x v="6"/>
    <x v="1"/>
    <s v="Sedan"/>
    <x v="2"/>
    <n v="42951"/>
    <n v="206688"/>
    <n v="136"/>
    <n v="0.97"/>
    <n v="6.29"/>
    <n v="1.2"/>
    <n v="10"/>
    <x v="292"/>
    <x v="0"/>
    <n v="43466.412000000004"/>
  </r>
  <r>
    <x v="5"/>
    <x v="1"/>
    <x v="4"/>
    <x v="4"/>
    <s v="Electric"/>
    <x v="2"/>
    <n v="41449"/>
    <n v="323326"/>
    <n v="388"/>
    <n v="0.97"/>
    <n v="6.29"/>
    <n v="1.2"/>
    <n v="6"/>
    <x v="475"/>
    <x v="0"/>
    <n v="41946.387999999999"/>
  </r>
  <r>
    <x v="8"/>
    <x v="2"/>
    <x v="5"/>
    <x v="6"/>
    <s v="Sedan"/>
    <x v="3"/>
    <n v="54065"/>
    <n v="402513"/>
    <n v="177"/>
    <n v="0.97"/>
    <n v="6.29"/>
    <n v="1.2"/>
    <n v="8"/>
    <x v="476"/>
    <x v="0"/>
    <n v="54713.78"/>
  </r>
  <r>
    <x v="3"/>
    <x v="11"/>
    <x v="5"/>
    <x v="2"/>
    <s v="Electric"/>
    <x v="3"/>
    <n v="44130"/>
    <n v="212403"/>
    <n v="253"/>
    <n v="0.97"/>
    <n v="6.29"/>
    <n v="1.2"/>
    <n v="1"/>
    <x v="173"/>
    <x v="2"/>
    <n v="44130"/>
  </r>
  <r>
    <x v="9"/>
    <x v="2"/>
    <x v="3"/>
    <x v="4"/>
    <s v="Electric"/>
    <x v="1"/>
    <n v="97287"/>
    <n v="227170"/>
    <n v="396"/>
    <n v="0.97"/>
    <n v="6.29"/>
    <n v="1.2"/>
    <n v="2"/>
    <x v="477"/>
    <x v="2"/>
    <n v="97287"/>
  </r>
  <r>
    <x v="8"/>
    <x v="3"/>
    <x v="1"/>
    <x v="2"/>
    <s v="Sedan"/>
    <x v="2"/>
    <n v="86702"/>
    <n v="76128"/>
    <n v="85"/>
    <n v="0.97"/>
    <n v="6.29"/>
    <n v="1.2"/>
    <n v="4"/>
    <x v="478"/>
    <x v="0"/>
    <n v="87742.423999999999"/>
  </r>
  <r>
    <x v="5"/>
    <x v="1"/>
    <x v="5"/>
    <x v="9"/>
    <s v="Sedan"/>
    <x v="2"/>
    <n v="71993"/>
    <n v="81556"/>
    <n v="240"/>
    <n v="0.97"/>
    <n v="6.29"/>
    <n v="1.2"/>
    <n v="2"/>
    <x v="479"/>
    <x v="2"/>
    <n v="71993"/>
  </r>
  <r>
    <x v="1"/>
    <x v="2"/>
    <x v="6"/>
    <x v="8"/>
    <s v="SUV"/>
    <x v="0"/>
    <n v="66875"/>
    <n v="308470"/>
    <n v="213"/>
    <n v="0.97"/>
    <n v="6.29"/>
    <n v="1.2"/>
    <n v="9"/>
    <x v="480"/>
    <x v="0"/>
    <n v="67677.5"/>
  </r>
  <r>
    <x v="8"/>
    <x v="7"/>
    <x v="5"/>
    <x v="8"/>
    <s v="SUV"/>
    <x v="1"/>
    <n v="41054"/>
    <n v="202948"/>
    <n v="257"/>
    <n v="0.97"/>
    <n v="6.29"/>
    <n v="1.2"/>
    <n v="10"/>
    <x v="413"/>
    <x v="0"/>
    <n v="41546.648000000001"/>
  </r>
  <r>
    <x v="8"/>
    <x v="0"/>
    <x v="3"/>
    <x v="4"/>
    <s v="SUV"/>
    <x v="0"/>
    <n v="83517"/>
    <n v="190021"/>
    <n v="311"/>
    <n v="0.97"/>
    <n v="6.29"/>
    <n v="1.2"/>
    <n v="8"/>
    <x v="307"/>
    <x v="0"/>
    <n v="84519.203999999998"/>
  </r>
  <r>
    <x v="2"/>
    <x v="5"/>
    <x v="8"/>
    <x v="4"/>
    <s v="Electric"/>
    <x v="1"/>
    <n v="111368"/>
    <n v="101962"/>
    <n v="223"/>
    <n v="0.97"/>
    <n v="6.29"/>
    <n v="1.2"/>
    <n v="8"/>
    <x v="481"/>
    <x v="0"/>
    <n v="112704.416"/>
  </r>
  <r>
    <x v="7"/>
    <x v="1"/>
    <x v="6"/>
    <x v="4"/>
    <s v="Sedan"/>
    <x v="1"/>
    <n v="64670"/>
    <n v="140054"/>
    <n v="224"/>
    <n v="0.97"/>
    <n v="6.29"/>
    <n v="1.2"/>
    <n v="4"/>
    <x v="482"/>
    <x v="0"/>
    <n v="65446.04"/>
  </r>
  <r>
    <x v="2"/>
    <x v="3"/>
    <x v="3"/>
    <x v="2"/>
    <s v="Electric"/>
    <x v="3"/>
    <n v="84112"/>
    <n v="252278"/>
    <n v="167"/>
    <n v="0.97"/>
    <n v="6.29"/>
    <n v="1.2"/>
    <n v="5"/>
    <x v="51"/>
    <x v="0"/>
    <n v="85121.343999999997"/>
  </r>
  <r>
    <x v="0"/>
    <x v="11"/>
    <x v="9"/>
    <x v="9"/>
    <s v="Sedan"/>
    <x v="3"/>
    <n v="63307"/>
    <n v="74099"/>
    <n v="78"/>
    <n v="0.97"/>
    <n v="6.29"/>
    <n v="1.2"/>
    <n v="4"/>
    <x v="483"/>
    <x v="0"/>
    <n v="64066.684000000001"/>
  </r>
  <r>
    <x v="4"/>
    <x v="4"/>
    <x v="9"/>
    <x v="7"/>
    <s v="Electric"/>
    <x v="0"/>
    <n v="102087"/>
    <n v="285943"/>
    <n v="94"/>
    <n v="0.97"/>
    <n v="6.29"/>
    <n v="1.2"/>
    <n v="9"/>
    <x v="484"/>
    <x v="0"/>
    <n v="103312.04399999999"/>
  </r>
  <r>
    <x v="4"/>
    <x v="10"/>
    <x v="7"/>
    <x v="4"/>
    <s v="SUV"/>
    <x v="1"/>
    <n v="82922"/>
    <n v="455932"/>
    <n v="276"/>
    <n v="0.97"/>
    <n v="6.29"/>
    <n v="1.2"/>
    <n v="2"/>
    <x v="485"/>
    <x v="1"/>
    <n v="74629.8"/>
  </r>
  <r>
    <x v="7"/>
    <x v="9"/>
    <x v="4"/>
    <x v="1"/>
    <s v="SUV"/>
    <x v="2"/>
    <n v="98080"/>
    <n v="233683"/>
    <n v="78"/>
    <n v="0.97"/>
    <n v="6.29"/>
    <n v="1.2"/>
    <n v="8"/>
    <x v="486"/>
    <x v="0"/>
    <n v="99256.960000000006"/>
  </r>
  <r>
    <x v="6"/>
    <x v="2"/>
    <x v="1"/>
    <x v="6"/>
    <s v="SUV"/>
    <x v="3"/>
    <n v="114335"/>
    <n v="219957"/>
    <n v="108"/>
    <n v="0.97"/>
    <n v="6.29"/>
    <n v="1.2"/>
    <n v="2"/>
    <x v="487"/>
    <x v="2"/>
    <n v="114335"/>
  </r>
  <r>
    <x v="6"/>
    <x v="5"/>
    <x v="0"/>
    <x v="6"/>
    <s v="Electric"/>
    <x v="2"/>
    <n v="61312"/>
    <n v="365288"/>
    <n v="356"/>
    <n v="0.97"/>
    <n v="6.29"/>
    <n v="1.2"/>
    <n v="1"/>
    <x v="488"/>
    <x v="1"/>
    <n v="55180.800000000003"/>
  </r>
  <r>
    <x v="5"/>
    <x v="1"/>
    <x v="2"/>
    <x v="2"/>
    <s v="Sedan"/>
    <x v="0"/>
    <n v="101985"/>
    <n v="246292"/>
    <n v="225"/>
    <n v="0.97"/>
    <n v="6.29"/>
    <n v="1.2"/>
    <n v="10"/>
    <x v="58"/>
    <x v="0"/>
    <n v="103208.82"/>
  </r>
  <r>
    <x v="7"/>
    <x v="2"/>
    <x v="3"/>
    <x v="4"/>
    <s v="Sedan"/>
    <x v="3"/>
    <n v="92608"/>
    <n v="57837"/>
    <n v="170"/>
    <n v="0.97"/>
    <n v="6.29"/>
    <n v="1.2"/>
    <n v="3"/>
    <x v="106"/>
    <x v="0"/>
    <n v="93719.296000000002"/>
  </r>
  <r>
    <x v="8"/>
    <x v="6"/>
    <x v="8"/>
    <x v="3"/>
    <s v="SUV"/>
    <x v="3"/>
    <n v="75277"/>
    <n v="230427"/>
    <n v="103"/>
    <n v="0.97"/>
    <n v="6.29"/>
    <n v="1.2"/>
    <n v="9"/>
    <x v="489"/>
    <x v="0"/>
    <n v="76180.324000000008"/>
  </r>
  <r>
    <x v="6"/>
    <x v="9"/>
    <x v="2"/>
    <x v="0"/>
    <s v="SUV"/>
    <x v="1"/>
    <n v="66551"/>
    <n v="228371"/>
    <n v="183"/>
    <n v="0.97"/>
    <n v="6.29"/>
    <n v="1.2"/>
    <n v="3"/>
    <x v="345"/>
    <x v="0"/>
    <n v="67349.611999999994"/>
  </r>
  <r>
    <x v="3"/>
    <x v="4"/>
    <x v="8"/>
    <x v="7"/>
    <s v="SUV"/>
    <x v="0"/>
    <n v="91597"/>
    <n v="462375"/>
    <n v="174"/>
    <n v="0.97"/>
    <n v="6.29"/>
    <n v="1.2"/>
    <n v="9"/>
    <x v="139"/>
    <x v="0"/>
    <n v="92696.164000000004"/>
  </r>
  <r>
    <x v="9"/>
    <x v="7"/>
    <x v="2"/>
    <x v="1"/>
    <s v="SUV"/>
    <x v="1"/>
    <n v="80212"/>
    <n v="437356"/>
    <n v="124"/>
    <n v="0.97"/>
    <n v="6.29"/>
    <n v="1.2"/>
    <n v="7"/>
    <x v="156"/>
    <x v="0"/>
    <n v="81174.543999999994"/>
  </r>
  <r>
    <x v="8"/>
    <x v="10"/>
    <x v="3"/>
    <x v="9"/>
    <s v="Sedan"/>
    <x v="3"/>
    <n v="44637"/>
    <n v="428824"/>
    <n v="229"/>
    <n v="0.97"/>
    <n v="6.29"/>
    <n v="1.2"/>
    <n v="10"/>
    <x v="490"/>
    <x v="0"/>
    <n v="45172.644"/>
  </r>
  <r>
    <x v="0"/>
    <x v="0"/>
    <x v="0"/>
    <x v="3"/>
    <s v="Electric"/>
    <x v="0"/>
    <n v="78258"/>
    <n v="298003"/>
    <n v="40"/>
    <n v="0.97"/>
    <n v="6.29"/>
    <n v="1.2"/>
    <n v="1"/>
    <x v="254"/>
    <x v="2"/>
    <n v="78258"/>
  </r>
  <r>
    <x v="3"/>
    <x v="2"/>
    <x v="2"/>
    <x v="8"/>
    <s v="Electric"/>
    <x v="3"/>
    <n v="70693"/>
    <n v="418946"/>
    <n v="20"/>
    <n v="0.97"/>
    <n v="6.29"/>
    <n v="1.2"/>
    <n v="10"/>
    <x v="41"/>
    <x v="0"/>
    <n v="71541.316000000006"/>
  </r>
  <r>
    <x v="3"/>
    <x v="4"/>
    <x v="3"/>
    <x v="3"/>
    <s v="Electric"/>
    <x v="0"/>
    <n v="44824"/>
    <n v="152413"/>
    <n v="352"/>
    <n v="0.97"/>
    <n v="6.29"/>
    <n v="1.2"/>
    <n v="5"/>
    <x v="103"/>
    <x v="0"/>
    <n v="45361.887999999999"/>
  </r>
  <r>
    <x v="7"/>
    <x v="4"/>
    <x v="5"/>
    <x v="2"/>
    <s v="Electric"/>
    <x v="3"/>
    <n v="61950"/>
    <n v="101012"/>
    <n v="386"/>
    <n v="0.97"/>
    <n v="6.29"/>
    <n v="1.2"/>
    <n v="9"/>
    <x v="314"/>
    <x v="0"/>
    <n v="62693.4"/>
  </r>
  <r>
    <x v="5"/>
    <x v="7"/>
    <x v="0"/>
    <x v="7"/>
    <s v="SUV"/>
    <x v="2"/>
    <n v="58488"/>
    <n v="180193"/>
    <n v="139"/>
    <n v="0.97"/>
    <n v="6.29"/>
    <n v="1.2"/>
    <n v="3"/>
    <x v="109"/>
    <x v="0"/>
    <n v="59189.856"/>
  </r>
  <r>
    <x v="0"/>
    <x v="8"/>
    <x v="6"/>
    <x v="5"/>
    <s v="SUV"/>
    <x v="2"/>
    <n v="35215"/>
    <n v="268168"/>
    <n v="114"/>
    <n v="0.97"/>
    <n v="6.29"/>
    <n v="1.2"/>
    <n v="9"/>
    <x v="155"/>
    <x v="0"/>
    <n v="35637.58"/>
  </r>
  <r>
    <x v="6"/>
    <x v="7"/>
    <x v="8"/>
    <x v="5"/>
    <s v="SUV"/>
    <x v="1"/>
    <n v="46523"/>
    <n v="198178"/>
    <n v="36"/>
    <n v="0.97"/>
    <n v="6.29"/>
    <n v="1.2"/>
    <n v="5"/>
    <x v="491"/>
    <x v="0"/>
    <n v="47081.275999999998"/>
  </r>
  <r>
    <x v="7"/>
    <x v="2"/>
    <x v="9"/>
    <x v="4"/>
    <s v="Electric"/>
    <x v="2"/>
    <n v="110900"/>
    <n v="108123"/>
    <n v="236"/>
    <n v="0.97"/>
    <n v="6.29"/>
    <n v="1.2"/>
    <n v="9"/>
    <x v="320"/>
    <x v="0"/>
    <n v="112230.8"/>
  </r>
  <r>
    <x v="6"/>
    <x v="8"/>
    <x v="4"/>
    <x v="4"/>
    <s v="SUV"/>
    <x v="3"/>
    <n v="103689"/>
    <n v="161825"/>
    <n v="11"/>
    <n v="0.97"/>
    <n v="6.29"/>
    <n v="1.2"/>
    <n v="10"/>
    <x v="492"/>
    <x v="0"/>
    <n v="104933.268"/>
  </r>
  <r>
    <x v="7"/>
    <x v="8"/>
    <x v="9"/>
    <x v="2"/>
    <s v="SUV"/>
    <x v="3"/>
    <n v="58834"/>
    <n v="58720"/>
    <n v="368"/>
    <n v="0.97"/>
    <n v="6.29"/>
    <n v="1.2"/>
    <n v="6"/>
    <x v="493"/>
    <x v="0"/>
    <n v="59540.008000000002"/>
  </r>
  <r>
    <x v="7"/>
    <x v="5"/>
    <x v="0"/>
    <x v="9"/>
    <s v="Sedan"/>
    <x v="2"/>
    <n v="69474"/>
    <n v="218733"/>
    <n v="110"/>
    <n v="0.97"/>
    <n v="6.29"/>
    <n v="1.2"/>
    <n v="9"/>
    <x v="494"/>
    <x v="0"/>
    <n v="70307.687999999995"/>
  </r>
  <r>
    <x v="7"/>
    <x v="5"/>
    <x v="6"/>
    <x v="4"/>
    <s v="Sedan"/>
    <x v="1"/>
    <n v="78066"/>
    <n v="296103"/>
    <n v="30"/>
    <n v="0.97"/>
    <n v="6.29"/>
    <n v="1.2"/>
    <n v="7"/>
    <x v="167"/>
    <x v="0"/>
    <n v="79002.792000000001"/>
  </r>
  <r>
    <x v="5"/>
    <x v="11"/>
    <x v="8"/>
    <x v="0"/>
    <s v="SUV"/>
    <x v="2"/>
    <n v="45400"/>
    <n v="274970"/>
    <n v="67"/>
    <n v="0.97"/>
    <n v="6.29"/>
    <n v="1.2"/>
    <n v="7"/>
    <x v="495"/>
    <x v="0"/>
    <n v="45944.800000000003"/>
  </r>
  <r>
    <x v="7"/>
    <x v="1"/>
    <x v="6"/>
    <x v="7"/>
    <s v="Sedan"/>
    <x v="0"/>
    <n v="45345"/>
    <n v="274866"/>
    <n v="398"/>
    <n v="0.97"/>
    <n v="6.29"/>
    <n v="1.2"/>
    <n v="8"/>
    <x v="144"/>
    <x v="0"/>
    <n v="45889.14"/>
  </r>
  <r>
    <x v="1"/>
    <x v="1"/>
    <x v="2"/>
    <x v="2"/>
    <s v="Sedan"/>
    <x v="0"/>
    <n v="68896"/>
    <n v="464336"/>
    <n v="189"/>
    <n v="0.97"/>
    <n v="6.29"/>
    <n v="1.2"/>
    <n v="7"/>
    <x v="402"/>
    <x v="0"/>
    <n v="69722.752000000008"/>
  </r>
  <r>
    <x v="9"/>
    <x v="3"/>
    <x v="8"/>
    <x v="6"/>
    <s v="SUV"/>
    <x v="0"/>
    <n v="63899"/>
    <n v="200862"/>
    <n v="350"/>
    <n v="0.97"/>
    <n v="6.29"/>
    <n v="1.2"/>
    <n v="9"/>
    <x v="245"/>
    <x v="0"/>
    <n v="64665.788"/>
  </r>
  <r>
    <x v="6"/>
    <x v="0"/>
    <x v="2"/>
    <x v="8"/>
    <s v="SUV"/>
    <x v="2"/>
    <n v="63229"/>
    <n v="108655"/>
    <n v="358"/>
    <n v="0.97"/>
    <n v="6.29"/>
    <n v="1.2"/>
    <n v="9"/>
    <x v="123"/>
    <x v="0"/>
    <n v="63987.748"/>
  </r>
  <r>
    <x v="8"/>
    <x v="1"/>
    <x v="3"/>
    <x v="2"/>
    <s v="SUV"/>
    <x v="2"/>
    <n v="40583"/>
    <n v="240715"/>
    <n v="29"/>
    <n v="0.97"/>
    <n v="6.29"/>
    <n v="1.2"/>
    <n v="6"/>
    <x v="365"/>
    <x v="0"/>
    <n v="41069.995999999999"/>
  </r>
  <r>
    <x v="2"/>
    <x v="5"/>
    <x v="0"/>
    <x v="2"/>
    <s v="SUV"/>
    <x v="2"/>
    <n v="39897"/>
    <n v="143448"/>
    <n v="264"/>
    <n v="0.97"/>
    <n v="6.29"/>
    <n v="1.2"/>
    <n v="7"/>
    <x v="496"/>
    <x v="0"/>
    <n v="40375.764000000003"/>
  </r>
  <r>
    <x v="0"/>
    <x v="11"/>
    <x v="3"/>
    <x v="5"/>
    <s v="Electric"/>
    <x v="0"/>
    <n v="106537"/>
    <n v="228446"/>
    <n v="326"/>
    <n v="0.97"/>
    <n v="6.29"/>
    <n v="1.2"/>
    <n v="2"/>
    <x v="497"/>
    <x v="2"/>
    <n v="106537"/>
  </r>
  <r>
    <x v="4"/>
    <x v="11"/>
    <x v="7"/>
    <x v="1"/>
    <s v="Electric"/>
    <x v="1"/>
    <n v="39567"/>
    <n v="223979"/>
    <n v="47"/>
    <n v="0.97"/>
    <n v="6.29"/>
    <n v="1.2"/>
    <n v="9"/>
    <x v="498"/>
    <x v="0"/>
    <n v="40041.804000000004"/>
  </r>
  <r>
    <x v="5"/>
    <x v="8"/>
    <x v="6"/>
    <x v="9"/>
    <s v="SUV"/>
    <x v="3"/>
    <n v="109807"/>
    <n v="231143"/>
    <n v="157"/>
    <n v="0.97"/>
    <n v="6.29"/>
    <n v="1.2"/>
    <n v="1"/>
    <x v="39"/>
    <x v="2"/>
    <n v="109807"/>
  </r>
  <r>
    <x v="8"/>
    <x v="3"/>
    <x v="2"/>
    <x v="1"/>
    <s v="Sedan"/>
    <x v="2"/>
    <n v="112239"/>
    <n v="170507"/>
    <n v="34"/>
    <n v="0.97"/>
    <n v="6.29"/>
    <n v="1.2"/>
    <n v="1"/>
    <x v="189"/>
    <x v="2"/>
    <n v="112239"/>
  </r>
  <r>
    <x v="3"/>
    <x v="7"/>
    <x v="5"/>
    <x v="0"/>
    <s v="SUV"/>
    <x v="1"/>
    <n v="48329"/>
    <n v="346956"/>
    <n v="395"/>
    <n v="0.97"/>
    <n v="6.29"/>
    <n v="1.2"/>
    <n v="3"/>
    <x v="499"/>
    <x v="0"/>
    <n v="48908.948000000004"/>
  </r>
  <r>
    <x v="1"/>
    <x v="0"/>
    <x v="3"/>
    <x v="6"/>
    <s v="SUV"/>
    <x v="3"/>
    <n v="106792"/>
    <n v="361714"/>
    <n v="130"/>
    <n v="0.97"/>
    <n v="6.29"/>
    <n v="1.2"/>
    <n v="6"/>
    <x v="449"/>
    <x v="0"/>
    <n v="108073.504"/>
  </r>
  <r>
    <x v="4"/>
    <x v="2"/>
    <x v="7"/>
    <x v="5"/>
    <s v="Sedan"/>
    <x v="3"/>
    <n v="35228"/>
    <n v="363045"/>
    <n v="35"/>
    <n v="0.97"/>
    <n v="6.29"/>
    <n v="1.2"/>
    <n v="5"/>
    <x v="500"/>
    <x v="0"/>
    <n v="35650.735999999997"/>
  </r>
  <r>
    <x v="2"/>
    <x v="8"/>
    <x v="1"/>
    <x v="6"/>
    <s v="Electric"/>
    <x v="3"/>
    <n v="117214"/>
    <n v="110186"/>
    <n v="178"/>
    <n v="0.97"/>
    <n v="6.29"/>
    <n v="1.2"/>
    <n v="2"/>
    <x v="175"/>
    <x v="2"/>
    <n v="117214"/>
  </r>
  <r>
    <x v="8"/>
    <x v="7"/>
    <x v="9"/>
    <x v="0"/>
    <s v="SUV"/>
    <x v="1"/>
    <n v="72052"/>
    <n v="172066"/>
    <n v="332"/>
    <n v="0.97"/>
    <n v="6.29"/>
    <n v="1.2"/>
    <n v="9"/>
    <x v="501"/>
    <x v="0"/>
    <n v="72916.623999999996"/>
  </r>
  <r>
    <x v="4"/>
    <x v="1"/>
    <x v="8"/>
    <x v="1"/>
    <s v="SUV"/>
    <x v="1"/>
    <n v="92769"/>
    <n v="440508"/>
    <n v="234"/>
    <n v="0.97"/>
    <n v="6.29"/>
    <n v="1.2"/>
    <n v="10"/>
    <x v="343"/>
    <x v="0"/>
    <n v="93882.228000000003"/>
  </r>
  <r>
    <x v="8"/>
    <x v="3"/>
    <x v="7"/>
    <x v="2"/>
    <s v="Electric"/>
    <x v="0"/>
    <n v="81032"/>
    <n v="231323"/>
    <n v="10"/>
    <n v="0.97"/>
    <n v="6.29"/>
    <n v="1.2"/>
    <n v="4"/>
    <x v="502"/>
    <x v="0"/>
    <n v="82004.384000000005"/>
  </r>
  <r>
    <x v="1"/>
    <x v="8"/>
    <x v="0"/>
    <x v="4"/>
    <s v="Electric"/>
    <x v="1"/>
    <n v="68686"/>
    <n v="246243"/>
    <n v="316"/>
    <n v="0.97"/>
    <n v="6.29"/>
    <n v="1.2"/>
    <n v="4"/>
    <x v="503"/>
    <x v="0"/>
    <n v="69510.232000000004"/>
  </r>
  <r>
    <x v="2"/>
    <x v="9"/>
    <x v="3"/>
    <x v="4"/>
    <s v="Sedan"/>
    <x v="1"/>
    <n v="111981"/>
    <n v="86160"/>
    <n v="270"/>
    <n v="0.97"/>
    <n v="6.29"/>
    <n v="1.2"/>
    <n v="5"/>
    <x v="352"/>
    <x v="0"/>
    <n v="113324.772"/>
  </r>
  <r>
    <x v="3"/>
    <x v="1"/>
    <x v="0"/>
    <x v="3"/>
    <s v="Electric"/>
    <x v="1"/>
    <n v="98261"/>
    <n v="69156"/>
    <n v="22"/>
    <n v="0.97"/>
    <n v="6.29"/>
    <n v="1.2"/>
    <n v="8"/>
    <x v="504"/>
    <x v="0"/>
    <n v="99440.131999999998"/>
  </r>
  <r>
    <x v="7"/>
    <x v="7"/>
    <x v="9"/>
    <x v="8"/>
    <s v="Electric"/>
    <x v="3"/>
    <n v="37809"/>
    <n v="126208"/>
    <n v="57"/>
    <n v="0.97"/>
    <n v="6.29"/>
    <n v="1.2"/>
    <n v="10"/>
    <x v="229"/>
    <x v="0"/>
    <n v="38262.707999999999"/>
  </r>
  <r>
    <x v="6"/>
    <x v="0"/>
    <x v="5"/>
    <x v="9"/>
    <s v="Electric"/>
    <x v="2"/>
    <n v="76785"/>
    <n v="199001"/>
    <n v="322"/>
    <n v="0.97"/>
    <n v="6.29"/>
    <n v="1.2"/>
    <n v="4"/>
    <x v="173"/>
    <x v="0"/>
    <n v="77706.42"/>
  </r>
  <r>
    <x v="3"/>
    <x v="2"/>
    <x v="6"/>
    <x v="0"/>
    <s v="Sedan"/>
    <x v="0"/>
    <n v="71547"/>
    <n v="281226"/>
    <n v="380"/>
    <n v="0.97"/>
    <n v="6.29"/>
    <n v="1.2"/>
    <n v="5"/>
    <x v="505"/>
    <x v="0"/>
    <n v="72405.563999999998"/>
  </r>
  <r>
    <x v="7"/>
    <x v="7"/>
    <x v="6"/>
    <x v="8"/>
    <s v="Electric"/>
    <x v="2"/>
    <n v="77818"/>
    <n v="497421"/>
    <n v="300"/>
    <n v="0.97"/>
    <n v="6.29"/>
    <n v="1.2"/>
    <n v="4"/>
    <x v="506"/>
    <x v="0"/>
    <n v="78751.816000000006"/>
  </r>
  <r>
    <x v="5"/>
    <x v="8"/>
    <x v="0"/>
    <x v="9"/>
    <s v="Electric"/>
    <x v="2"/>
    <n v="106927"/>
    <n v="291766"/>
    <n v="341"/>
    <n v="0.97"/>
    <n v="6.29"/>
    <n v="1.2"/>
    <n v="6"/>
    <x v="507"/>
    <x v="0"/>
    <n v="108210.124"/>
  </r>
  <r>
    <x v="9"/>
    <x v="8"/>
    <x v="2"/>
    <x v="8"/>
    <s v="Sedan"/>
    <x v="1"/>
    <n v="100681"/>
    <n v="245413"/>
    <n v="103"/>
    <n v="0.97"/>
    <n v="6.29"/>
    <n v="1.2"/>
    <n v="3"/>
    <x v="508"/>
    <x v="0"/>
    <n v="101889.17200000001"/>
  </r>
  <r>
    <x v="0"/>
    <x v="2"/>
    <x v="5"/>
    <x v="1"/>
    <s v="Electric"/>
    <x v="0"/>
    <n v="114465"/>
    <n v="407521"/>
    <n v="270"/>
    <n v="0.97"/>
    <n v="6.29"/>
    <n v="1.2"/>
    <n v="8"/>
    <x v="428"/>
    <x v="0"/>
    <n v="115838.58"/>
  </r>
  <r>
    <x v="0"/>
    <x v="4"/>
    <x v="6"/>
    <x v="9"/>
    <s v="Electric"/>
    <x v="2"/>
    <n v="72333"/>
    <n v="355007"/>
    <n v="287"/>
    <n v="0.97"/>
    <n v="6.29"/>
    <n v="1.2"/>
    <n v="6"/>
    <x v="16"/>
    <x v="0"/>
    <n v="73200.995999999999"/>
  </r>
  <r>
    <x v="6"/>
    <x v="0"/>
    <x v="5"/>
    <x v="1"/>
    <s v="Sedan"/>
    <x v="2"/>
    <n v="51576"/>
    <n v="262909"/>
    <n v="368"/>
    <n v="0.97"/>
    <n v="6.29"/>
    <n v="1.2"/>
    <n v="10"/>
    <x v="509"/>
    <x v="0"/>
    <n v="52194.912000000004"/>
  </r>
  <r>
    <x v="2"/>
    <x v="6"/>
    <x v="7"/>
    <x v="2"/>
    <s v="SUV"/>
    <x v="0"/>
    <n v="74405"/>
    <n v="115439"/>
    <n v="214"/>
    <n v="0.97"/>
    <n v="6.29"/>
    <n v="1.2"/>
    <n v="5"/>
    <x v="510"/>
    <x v="0"/>
    <n v="75297.86"/>
  </r>
  <r>
    <x v="1"/>
    <x v="1"/>
    <x v="5"/>
    <x v="5"/>
    <s v="Sedan"/>
    <x v="1"/>
    <n v="108779"/>
    <n v="188266"/>
    <n v="194"/>
    <n v="0.97"/>
    <n v="6.29"/>
    <n v="1.2"/>
    <n v="2"/>
    <x v="10"/>
    <x v="2"/>
    <n v="108779"/>
  </r>
  <r>
    <x v="2"/>
    <x v="11"/>
    <x v="4"/>
    <x v="1"/>
    <s v="Electric"/>
    <x v="2"/>
    <n v="66601"/>
    <n v="252459"/>
    <n v="184"/>
    <n v="0.97"/>
    <n v="6.29"/>
    <n v="1.2"/>
    <n v="10"/>
    <x v="137"/>
    <x v="0"/>
    <n v="67400.212"/>
  </r>
  <r>
    <x v="1"/>
    <x v="2"/>
    <x v="9"/>
    <x v="4"/>
    <s v="Electric"/>
    <x v="3"/>
    <n v="102946"/>
    <n v="171361"/>
    <n v="396"/>
    <n v="0.97"/>
    <n v="6.29"/>
    <n v="1.2"/>
    <n v="10"/>
    <x v="366"/>
    <x v="0"/>
    <n v="104181.352"/>
  </r>
  <r>
    <x v="2"/>
    <x v="0"/>
    <x v="6"/>
    <x v="8"/>
    <s v="Electric"/>
    <x v="2"/>
    <n v="102356"/>
    <n v="262986"/>
    <n v="389"/>
    <n v="0.97"/>
    <n v="6.29"/>
    <n v="1.2"/>
    <n v="7"/>
    <x v="511"/>
    <x v="0"/>
    <n v="103584.272"/>
  </r>
  <r>
    <x v="9"/>
    <x v="11"/>
    <x v="5"/>
    <x v="3"/>
    <s v="Sedan"/>
    <x v="3"/>
    <n v="87116"/>
    <n v="247286"/>
    <n v="318"/>
    <n v="0.97"/>
    <n v="6.29"/>
    <n v="1.2"/>
    <n v="2"/>
    <x v="512"/>
    <x v="2"/>
    <n v="87116"/>
  </r>
  <r>
    <x v="5"/>
    <x v="0"/>
    <x v="0"/>
    <x v="7"/>
    <s v="Electric"/>
    <x v="1"/>
    <n v="97894"/>
    <n v="408320"/>
    <n v="78"/>
    <n v="0.97"/>
    <n v="6.29"/>
    <n v="1.2"/>
    <n v="1"/>
    <x v="177"/>
    <x v="1"/>
    <n v="88104.6"/>
  </r>
  <r>
    <x v="5"/>
    <x v="0"/>
    <x v="1"/>
    <x v="9"/>
    <s v="Electric"/>
    <x v="2"/>
    <n v="69635"/>
    <n v="79777"/>
    <n v="113"/>
    <n v="0.97"/>
    <n v="6.29"/>
    <n v="1.2"/>
    <n v="7"/>
    <x v="270"/>
    <x v="0"/>
    <n v="70470.62"/>
  </r>
  <r>
    <x v="7"/>
    <x v="7"/>
    <x v="4"/>
    <x v="0"/>
    <s v="Sedan"/>
    <x v="0"/>
    <n v="42465"/>
    <n v="306427"/>
    <n v="255"/>
    <n v="0.97"/>
    <n v="6.29"/>
    <n v="1.2"/>
    <n v="5"/>
    <x v="334"/>
    <x v="0"/>
    <n v="42974.58"/>
  </r>
  <r>
    <x v="4"/>
    <x v="0"/>
    <x v="4"/>
    <x v="3"/>
    <s v="SUV"/>
    <x v="0"/>
    <n v="91754"/>
    <n v="207255"/>
    <n v="170"/>
    <n v="0.97"/>
    <n v="6.29"/>
    <n v="1.2"/>
    <n v="1"/>
    <x v="513"/>
    <x v="2"/>
    <n v="91754"/>
  </r>
  <r>
    <x v="5"/>
    <x v="4"/>
    <x v="2"/>
    <x v="4"/>
    <s v="SUV"/>
    <x v="2"/>
    <n v="73871"/>
    <n v="470661"/>
    <n v="209"/>
    <n v="0.97"/>
    <n v="6.29"/>
    <n v="1.2"/>
    <n v="4"/>
    <x v="278"/>
    <x v="0"/>
    <n v="74757.452000000005"/>
  </r>
  <r>
    <x v="5"/>
    <x v="6"/>
    <x v="5"/>
    <x v="1"/>
    <s v="Electric"/>
    <x v="1"/>
    <n v="97874"/>
    <n v="248110"/>
    <n v="225"/>
    <n v="0.97"/>
    <n v="6.29"/>
    <n v="1.2"/>
    <n v="4"/>
    <x v="467"/>
    <x v="0"/>
    <n v="99048.487999999998"/>
  </r>
  <r>
    <x v="3"/>
    <x v="8"/>
    <x v="2"/>
    <x v="5"/>
    <s v="Sedan"/>
    <x v="1"/>
    <n v="112733"/>
    <n v="399345"/>
    <n v="221"/>
    <n v="0.97"/>
    <n v="6.29"/>
    <n v="1.2"/>
    <n v="10"/>
    <x v="490"/>
    <x v="0"/>
    <n v="114085.796"/>
  </r>
  <r>
    <x v="3"/>
    <x v="10"/>
    <x v="2"/>
    <x v="2"/>
    <s v="Electric"/>
    <x v="0"/>
    <n v="64511"/>
    <n v="459414"/>
    <n v="25"/>
    <n v="0.97"/>
    <n v="6.29"/>
    <n v="1.2"/>
    <n v="7"/>
    <x v="104"/>
    <x v="0"/>
    <n v="65285.131999999998"/>
  </r>
  <r>
    <x v="7"/>
    <x v="11"/>
    <x v="1"/>
    <x v="7"/>
    <s v="Sedan"/>
    <x v="2"/>
    <n v="115960"/>
    <n v="464627"/>
    <n v="381"/>
    <n v="0.97"/>
    <n v="6.29"/>
    <n v="1.2"/>
    <n v="9"/>
    <x v="38"/>
    <x v="0"/>
    <n v="117351.52"/>
  </r>
  <r>
    <x v="4"/>
    <x v="8"/>
    <x v="7"/>
    <x v="6"/>
    <s v="Sedan"/>
    <x v="1"/>
    <n v="83821"/>
    <n v="231649"/>
    <n v="341"/>
    <n v="0.97"/>
    <n v="6.29"/>
    <n v="1.2"/>
    <n v="2"/>
    <x v="158"/>
    <x v="2"/>
    <n v="83821"/>
  </r>
  <r>
    <x v="6"/>
    <x v="10"/>
    <x v="5"/>
    <x v="3"/>
    <s v="SUV"/>
    <x v="0"/>
    <n v="100776"/>
    <n v="328011"/>
    <n v="214"/>
    <n v="0.97"/>
    <n v="6.29"/>
    <n v="1.2"/>
    <n v="1"/>
    <x v="514"/>
    <x v="1"/>
    <n v="90698.400000000009"/>
  </r>
  <r>
    <x v="3"/>
    <x v="6"/>
    <x v="3"/>
    <x v="5"/>
    <s v="SUV"/>
    <x v="3"/>
    <n v="105167"/>
    <n v="112501"/>
    <n v="374"/>
    <n v="0.97"/>
    <n v="6.29"/>
    <n v="1.2"/>
    <n v="2"/>
    <x v="515"/>
    <x v="2"/>
    <n v="105167"/>
  </r>
  <r>
    <x v="6"/>
    <x v="6"/>
    <x v="6"/>
    <x v="6"/>
    <s v="Sedan"/>
    <x v="2"/>
    <n v="110135"/>
    <n v="195338"/>
    <n v="48"/>
    <n v="0.97"/>
    <n v="6.29"/>
    <n v="1.2"/>
    <n v="7"/>
    <x v="165"/>
    <x v="0"/>
    <n v="111456.62"/>
  </r>
  <r>
    <x v="8"/>
    <x v="11"/>
    <x v="2"/>
    <x v="7"/>
    <s v="Electric"/>
    <x v="3"/>
    <n v="79462"/>
    <n v="351566"/>
    <n v="98"/>
    <n v="0.97"/>
    <n v="6.29"/>
    <n v="1.2"/>
    <n v="10"/>
    <x v="491"/>
    <x v="0"/>
    <n v="80415.543999999994"/>
  </r>
  <r>
    <x v="3"/>
    <x v="11"/>
    <x v="9"/>
    <x v="0"/>
    <s v="SUV"/>
    <x v="3"/>
    <n v="96382"/>
    <n v="216280"/>
    <n v="265"/>
    <n v="0.97"/>
    <n v="6.29"/>
    <n v="1.2"/>
    <n v="6"/>
    <x v="138"/>
    <x v="0"/>
    <n v="97538.584000000003"/>
  </r>
  <r>
    <x v="9"/>
    <x v="6"/>
    <x v="8"/>
    <x v="0"/>
    <s v="Electric"/>
    <x v="1"/>
    <n v="67574"/>
    <n v="171544"/>
    <n v="263"/>
    <n v="0.97"/>
    <n v="6.29"/>
    <n v="1.2"/>
    <n v="4"/>
    <x v="476"/>
    <x v="0"/>
    <n v="68384.888000000006"/>
  </r>
  <r>
    <x v="4"/>
    <x v="10"/>
    <x v="9"/>
    <x v="8"/>
    <s v="SUV"/>
    <x v="1"/>
    <n v="76910"/>
    <n v="474429"/>
    <n v="225"/>
    <n v="0.97"/>
    <n v="6.29"/>
    <n v="1.2"/>
    <n v="1"/>
    <x v="112"/>
    <x v="1"/>
    <n v="69219"/>
  </r>
  <r>
    <x v="7"/>
    <x v="2"/>
    <x v="1"/>
    <x v="7"/>
    <s v="SUV"/>
    <x v="1"/>
    <n v="108531"/>
    <n v="188439"/>
    <n v="377"/>
    <n v="0.97"/>
    <n v="6.29"/>
    <n v="1.2"/>
    <n v="1"/>
    <x v="516"/>
    <x v="2"/>
    <n v="108531"/>
  </r>
  <r>
    <x v="8"/>
    <x v="0"/>
    <x v="1"/>
    <x v="7"/>
    <s v="Electric"/>
    <x v="2"/>
    <n v="60186"/>
    <n v="305230"/>
    <n v="312"/>
    <n v="0.97"/>
    <n v="6.29"/>
    <n v="1.2"/>
    <n v="5"/>
    <x v="517"/>
    <x v="0"/>
    <n v="60908.232000000004"/>
  </r>
  <r>
    <x v="4"/>
    <x v="1"/>
    <x v="0"/>
    <x v="6"/>
    <s v="SUV"/>
    <x v="3"/>
    <n v="57813"/>
    <n v="85362"/>
    <n v="181"/>
    <n v="0.97"/>
    <n v="6.29"/>
    <n v="1.2"/>
    <n v="1"/>
    <x v="261"/>
    <x v="2"/>
    <n v="57813"/>
  </r>
  <r>
    <x v="9"/>
    <x v="3"/>
    <x v="7"/>
    <x v="5"/>
    <s v="SUV"/>
    <x v="2"/>
    <n v="113812"/>
    <n v="300449"/>
    <n v="146"/>
    <n v="0.97"/>
    <n v="6.29"/>
    <n v="1.2"/>
    <n v="7"/>
    <x v="518"/>
    <x v="0"/>
    <n v="115177.74400000001"/>
  </r>
  <r>
    <x v="4"/>
    <x v="9"/>
    <x v="6"/>
    <x v="9"/>
    <s v="Electric"/>
    <x v="1"/>
    <n v="113282"/>
    <n v="363732"/>
    <n v="393"/>
    <n v="0.97"/>
    <n v="6.29"/>
    <n v="1.2"/>
    <n v="1"/>
    <x v="519"/>
    <x v="1"/>
    <n v="101953.8"/>
  </r>
  <r>
    <x v="9"/>
    <x v="3"/>
    <x v="2"/>
    <x v="6"/>
    <s v="SUV"/>
    <x v="3"/>
    <n v="53557"/>
    <n v="219357"/>
    <n v="187"/>
    <n v="0.97"/>
    <n v="6.29"/>
    <n v="1.2"/>
    <n v="1"/>
    <x v="168"/>
    <x v="2"/>
    <n v="53557"/>
  </r>
  <r>
    <x v="9"/>
    <x v="8"/>
    <x v="9"/>
    <x v="2"/>
    <s v="SUV"/>
    <x v="2"/>
    <n v="63060"/>
    <n v="176683"/>
    <n v="86"/>
    <n v="0.97"/>
    <n v="6.29"/>
    <n v="1.2"/>
    <n v="2"/>
    <x v="484"/>
    <x v="2"/>
    <n v="63060"/>
  </r>
  <r>
    <x v="6"/>
    <x v="7"/>
    <x v="8"/>
    <x v="0"/>
    <s v="SUV"/>
    <x v="2"/>
    <n v="93866"/>
    <n v="306157"/>
    <n v="197"/>
    <n v="0.97"/>
    <n v="6.29"/>
    <n v="1.2"/>
    <n v="10"/>
    <x v="457"/>
    <x v="0"/>
    <n v="94992.392000000007"/>
  </r>
  <r>
    <x v="2"/>
    <x v="8"/>
    <x v="1"/>
    <x v="0"/>
    <s v="Electric"/>
    <x v="0"/>
    <n v="107104"/>
    <n v="255827"/>
    <n v="24"/>
    <n v="0.97"/>
    <n v="6.29"/>
    <n v="1.2"/>
    <n v="3"/>
    <x v="520"/>
    <x v="0"/>
    <n v="108389.24800000001"/>
  </r>
  <r>
    <x v="8"/>
    <x v="7"/>
    <x v="1"/>
    <x v="8"/>
    <s v="Sedan"/>
    <x v="2"/>
    <n v="119577"/>
    <n v="252918"/>
    <n v="301"/>
    <n v="0.97"/>
    <n v="6.29"/>
    <n v="1.2"/>
    <n v="1"/>
    <x v="521"/>
    <x v="2"/>
    <n v="119577"/>
  </r>
  <r>
    <x v="4"/>
    <x v="10"/>
    <x v="7"/>
    <x v="2"/>
    <s v="Electric"/>
    <x v="1"/>
    <n v="41080"/>
    <n v="348451"/>
    <n v="328"/>
    <n v="0.97"/>
    <n v="6.29"/>
    <n v="1.2"/>
    <n v="9"/>
    <x v="172"/>
    <x v="0"/>
    <n v="41572.959999999999"/>
  </r>
  <r>
    <x v="1"/>
    <x v="7"/>
    <x v="8"/>
    <x v="0"/>
    <s v="Sedan"/>
    <x v="2"/>
    <n v="48854"/>
    <n v="392424"/>
    <n v="334"/>
    <n v="0.97"/>
    <n v="6.29"/>
    <n v="1.2"/>
    <n v="10"/>
    <x v="522"/>
    <x v="0"/>
    <n v="49440.248"/>
  </r>
  <r>
    <x v="8"/>
    <x v="11"/>
    <x v="8"/>
    <x v="6"/>
    <s v="SUV"/>
    <x v="3"/>
    <n v="102695"/>
    <n v="463083"/>
    <n v="223"/>
    <n v="0.97"/>
    <n v="6.29"/>
    <n v="1.2"/>
    <n v="8"/>
    <x v="211"/>
    <x v="0"/>
    <n v="103927.34"/>
  </r>
  <r>
    <x v="2"/>
    <x v="2"/>
    <x v="7"/>
    <x v="2"/>
    <s v="Sedan"/>
    <x v="2"/>
    <n v="62025"/>
    <n v="368667"/>
    <n v="217"/>
    <n v="0.97"/>
    <n v="6.29"/>
    <n v="1.2"/>
    <n v="5"/>
    <x v="94"/>
    <x v="0"/>
    <n v="62769.3"/>
  </r>
  <r>
    <x v="8"/>
    <x v="1"/>
    <x v="1"/>
    <x v="6"/>
    <s v="Electric"/>
    <x v="0"/>
    <n v="87982"/>
    <n v="449594"/>
    <n v="178"/>
    <n v="0.97"/>
    <n v="6.29"/>
    <n v="1.2"/>
    <n v="2"/>
    <x v="56"/>
    <x v="1"/>
    <n v="79183.8"/>
  </r>
  <r>
    <x v="5"/>
    <x v="1"/>
    <x v="6"/>
    <x v="9"/>
    <s v="Electric"/>
    <x v="3"/>
    <n v="76081"/>
    <n v="265757"/>
    <n v="339"/>
    <n v="0.97"/>
    <n v="6.29"/>
    <n v="1.2"/>
    <n v="5"/>
    <x v="523"/>
    <x v="0"/>
    <n v="76993.971999999994"/>
  </r>
  <r>
    <x v="1"/>
    <x v="11"/>
    <x v="5"/>
    <x v="9"/>
    <s v="SUV"/>
    <x v="3"/>
    <n v="39368"/>
    <n v="157669"/>
    <n v="289"/>
    <n v="0.97"/>
    <n v="6.29"/>
    <n v="1.2"/>
    <n v="6"/>
    <x v="524"/>
    <x v="0"/>
    <n v="39840.415999999997"/>
  </r>
  <r>
    <x v="2"/>
    <x v="2"/>
    <x v="5"/>
    <x v="0"/>
    <s v="Sedan"/>
    <x v="0"/>
    <n v="62094"/>
    <n v="258030"/>
    <n v="314"/>
    <n v="0.97"/>
    <n v="6.29"/>
    <n v="1.2"/>
    <n v="1"/>
    <x v="210"/>
    <x v="2"/>
    <n v="62094"/>
  </r>
  <r>
    <x v="6"/>
    <x v="4"/>
    <x v="7"/>
    <x v="0"/>
    <s v="SUV"/>
    <x v="1"/>
    <n v="81040"/>
    <n v="208998"/>
    <n v="155"/>
    <n v="0.97"/>
    <n v="6.29"/>
    <n v="1.2"/>
    <n v="4"/>
    <x v="525"/>
    <x v="0"/>
    <n v="82012.479999999996"/>
  </r>
  <r>
    <x v="4"/>
    <x v="3"/>
    <x v="8"/>
    <x v="5"/>
    <s v="SUV"/>
    <x v="3"/>
    <n v="101766"/>
    <n v="153215"/>
    <n v="272"/>
    <n v="0.97"/>
    <n v="6.29"/>
    <n v="1.2"/>
    <n v="9"/>
    <x v="125"/>
    <x v="0"/>
    <n v="102987.192"/>
  </r>
  <r>
    <x v="0"/>
    <x v="10"/>
    <x v="2"/>
    <x v="9"/>
    <s v="Electric"/>
    <x v="1"/>
    <n v="118053"/>
    <n v="148707"/>
    <n v="13"/>
    <n v="0.97"/>
    <n v="6.29"/>
    <n v="1.2"/>
    <n v="2"/>
    <x v="291"/>
    <x v="2"/>
    <n v="118053"/>
  </r>
  <r>
    <x v="2"/>
    <x v="3"/>
    <x v="7"/>
    <x v="3"/>
    <s v="Sedan"/>
    <x v="3"/>
    <n v="58991"/>
    <n v="456396"/>
    <n v="99"/>
    <n v="0.97"/>
    <n v="6.29"/>
    <n v="1.2"/>
    <n v="5"/>
    <x v="177"/>
    <x v="0"/>
    <n v="59698.892"/>
  </r>
  <r>
    <x v="7"/>
    <x v="4"/>
    <x v="6"/>
    <x v="3"/>
    <s v="Sedan"/>
    <x v="3"/>
    <n v="36301"/>
    <n v="142837"/>
    <n v="69"/>
    <n v="0.97"/>
    <n v="6.29"/>
    <n v="1.2"/>
    <n v="1"/>
    <x v="526"/>
    <x v="2"/>
    <n v="36301"/>
  </r>
  <r>
    <x v="4"/>
    <x v="4"/>
    <x v="7"/>
    <x v="8"/>
    <s v="Sedan"/>
    <x v="1"/>
    <n v="63610"/>
    <n v="430214"/>
    <n v="320"/>
    <n v="0.97"/>
    <n v="6.29"/>
    <n v="1.2"/>
    <n v="4"/>
    <x v="290"/>
    <x v="0"/>
    <n v="64373.32"/>
  </r>
  <r>
    <x v="2"/>
    <x v="8"/>
    <x v="4"/>
    <x v="9"/>
    <s v="Sedan"/>
    <x v="3"/>
    <n v="116463"/>
    <n v="480147"/>
    <n v="25"/>
    <n v="0.97"/>
    <n v="6.29"/>
    <n v="1.2"/>
    <n v="4"/>
    <x v="527"/>
    <x v="0"/>
    <n v="117860.556"/>
  </r>
  <r>
    <x v="5"/>
    <x v="6"/>
    <x v="9"/>
    <x v="6"/>
    <s v="SUV"/>
    <x v="1"/>
    <n v="69678"/>
    <n v="467230"/>
    <n v="236"/>
    <n v="0.97"/>
    <n v="6.29"/>
    <n v="1.2"/>
    <n v="6"/>
    <x v="363"/>
    <x v="0"/>
    <n v="70514.135999999999"/>
  </r>
  <r>
    <x v="0"/>
    <x v="8"/>
    <x v="8"/>
    <x v="6"/>
    <s v="SUV"/>
    <x v="0"/>
    <n v="59466"/>
    <n v="295847"/>
    <n v="38"/>
    <n v="0.97"/>
    <n v="6.29"/>
    <n v="1.2"/>
    <n v="10"/>
    <x v="459"/>
    <x v="0"/>
    <n v="60179.592000000004"/>
  </r>
  <r>
    <x v="5"/>
    <x v="6"/>
    <x v="0"/>
    <x v="4"/>
    <s v="Electric"/>
    <x v="1"/>
    <n v="115440"/>
    <n v="277544"/>
    <n v="160"/>
    <n v="0.97"/>
    <n v="6.29"/>
    <n v="1.2"/>
    <n v="9"/>
    <x v="157"/>
    <x v="0"/>
    <n v="116825.28"/>
  </r>
  <r>
    <x v="0"/>
    <x v="9"/>
    <x v="0"/>
    <x v="2"/>
    <s v="SUV"/>
    <x v="0"/>
    <n v="75875"/>
    <n v="392016"/>
    <n v="254"/>
    <n v="0.97"/>
    <n v="6.29"/>
    <n v="1.2"/>
    <n v="3"/>
    <x v="528"/>
    <x v="0"/>
    <n v="76785.5"/>
  </r>
  <r>
    <x v="7"/>
    <x v="7"/>
    <x v="8"/>
    <x v="1"/>
    <s v="SUV"/>
    <x v="3"/>
    <n v="61081"/>
    <n v="399880"/>
    <n v="279"/>
    <n v="0.97"/>
    <n v="6.29"/>
    <n v="1.2"/>
    <n v="9"/>
    <x v="129"/>
    <x v="0"/>
    <n v="61813.972000000002"/>
  </r>
  <r>
    <x v="4"/>
    <x v="2"/>
    <x v="6"/>
    <x v="3"/>
    <s v="Electric"/>
    <x v="1"/>
    <n v="59354"/>
    <n v="317614"/>
    <n v="88"/>
    <n v="0.97"/>
    <n v="6.29"/>
    <n v="1.2"/>
    <n v="6"/>
    <x v="109"/>
    <x v="0"/>
    <n v="60066.248"/>
  </r>
  <r>
    <x v="6"/>
    <x v="6"/>
    <x v="4"/>
    <x v="0"/>
    <s v="Electric"/>
    <x v="3"/>
    <n v="53300"/>
    <n v="277467"/>
    <n v="298"/>
    <n v="0.97"/>
    <n v="6.29"/>
    <n v="1.2"/>
    <n v="7"/>
    <x v="27"/>
    <x v="0"/>
    <n v="53939.6"/>
  </r>
  <r>
    <x v="5"/>
    <x v="3"/>
    <x v="4"/>
    <x v="8"/>
    <s v="Electric"/>
    <x v="1"/>
    <n v="99384"/>
    <n v="196025"/>
    <n v="162"/>
    <n v="0.97"/>
    <n v="6.29"/>
    <n v="1.2"/>
    <n v="10"/>
    <x v="529"/>
    <x v="0"/>
    <n v="100576.60800000001"/>
  </r>
  <r>
    <x v="5"/>
    <x v="11"/>
    <x v="1"/>
    <x v="1"/>
    <s v="SUV"/>
    <x v="0"/>
    <n v="95892"/>
    <n v="285652"/>
    <n v="286"/>
    <n v="0.97"/>
    <n v="6.29"/>
    <n v="1.2"/>
    <n v="2"/>
    <x v="530"/>
    <x v="2"/>
    <n v="95892"/>
  </r>
  <r>
    <x v="9"/>
    <x v="8"/>
    <x v="9"/>
    <x v="7"/>
    <s v="SUV"/>
    <x v="0"/>
    <n v="70525"/>
    <n v="481723"/>
    <n v="288"/>
    <n v="0.97"/>
    <n v="6.29"/>
    <n v="1.2"/>
    <n v="10"/>
    <x v="366"/>
    <x v="0"/>
    <n v="71371.3"/>
  </r>
  <r>
    <x v="0"/>
    <x v="2"/>
    <x v="5"/>
    <x v="8"/>
    <s v="Electric"/>
    <x v="1"/>
    <n v="61532"/>
    <n v="405113"/>
    <n v="66"/>
    <n v="0.97"/>
    <n v="6.29"/>
    <n v="1.2"/>
    <n v="6"/>
    <x v="241"/>
    <x v="0"/>
    <n v="62270.383999999998"/>
  </r>
  <r>
    <x v="3"/>
    <x v="10"/>
    <x v="3"/>
    <x v="7"/>
    <s v="Electric"/>
    <x v="0"/>
    <n v="41464"/>
    <n v="141493"/>
    <n v="195"/>
    <n v="0.97"/>
    <n v="6.29"/>
    <n v="1.2"/>
    <n v="6"/>
    <x v="398"/>
    <x v="0"/>
    <n v="41961.567999999999"/>
  </r>
  <r>
    <x v="4"/>
    <x v="2"/>
    <x v="6"/>
    <x v="9"/>
    <s v="Electric"/>
    <x v="3"/>
    <n v="51562"/>
    <n v="318667"/>
    <n v="102"/>
    <n v="0.97"/>
    <n v="6.29"/>
    <n v="1.2"/>
    <n v="2"/>
    <x v="48"/>
    <x v="1"/>
    <n v="46405.8"/>
  </r>
  <r>
    <x v="0"/>
    <x v="7"/>
    <x v="3"/>
    <x v="7"/>
    <s v="SUV"/>
    <x v="3"/>
    <n v="90514"/>
    <n v="267995"/>
    <n v="285"/>
    <n v="0.97"/>
    <n v="6.29"/>
    <n v="1.2"/>
    <n v="2"/>
    <x v="347"/>
    <x v="2"/>
    <n v="90514"/>
  </r>
  <r>
    <x v="9"/>
    <x v="9"/>
    <x v="3"/>
    <x v="7"/>
    <s v="SUV"/>
    <x v="2"/>
    <n v="109219"/>
    <n v="238262"/>
    <n v="167"/>
    <n v="0.97"/>
    <n v="6.29"/>
    <n v="1.2"/>
    <n v="2"/>
    <x v="271"/>
    <x v="2"/>
    <n v="109219"/>
  </r>
  <r>
    <x v="8"/>
    <x v="6"/>
    <x v="8"/>
    <x v="5"/>
    <s v="Sedan"/>
    <x v="0"/>
    <n v="67634"/>
    <n v="490977"/>
    <n v="284"/>
    <n v="0.97"/>
    <n v="6.29"/>
    <n v="1.2"/>
    <n v="10"/>
    <x v="142"/>
    <x v="0"/>
    <n v="68445.608000000007"/>
  </r>
  <r>
    <x v="0"/>
    <x v="9"/>
    <x v="0"/>
    <x v="5"/>
    <s v="SUV"/>
    <x v="3"/>
    <n v="35060"/>
    <n v="343313"/>
    <n v="190"/>
    <n v="0.97"/>
    <n v="6.29"/>
    <n v="1.2"/>
    <n v="1"/>
    <x v="346"/>
    <x v="1"/>
    <n v="31554"/>
  </r>
  <r>
    <x v="6"/>
    <x v="10"/>
    <x v="0"/>
    <x v="5"/>
    <s v="SUV"/>
    <x v="1"/>
    <n v="44269"/>
    <n v="95641"/>
    <n v="368"/>
    <n v="0.97"/>
    <n v="6.29"/>
    <n v="1.2"/>
    <n v="5"/>
    <x v="448"/>
    <x v="0"/>
    <n v="44800.228000000003"/>
  </r>
  <r>
    <x v="4"/>
    <x v="4"/>
    <x v="5"/>
    <x v="9"/>
    <s v="SUV"/>
    <x v="0"/>
    <n v="98143"/>
    <n v="204062"/>
    <n v="86"/>
    <n v="0.97"/>
    <n v="6.29"/>
    <n v="1.2"/>
    <n v="8"/>
    <x v="531"/>
    <x v="0"/>
    <n v="99320.716"/>
  </r>
  <r>
    <x v="9"/>
    <x v="1"/>
    <x v="8"/>
    <x v="1"/>
    <s v="Electric"/>
    <x v="3"/>
    <n v="58065"/>
    <n v="79661"/>
    <n v="160"/>
    <n v="0.97"/>
    <n v="6.29"/>
    <n v="1.2"/>
    <n v="2"/>
    <x v="532"/>
    <x v="2"/>
    <n v="58065"/>
  </r>
  <r>
    <x v="8"/>
    <x v="10"/>
    <x v="3"/>
    <x v="8"/>
    <s v="SUV"/>
    <x v="0"/>
    <n v="37895"/>
    <n v="194491"/>
    <n v="247"/>
    <n v="0.97"/>
    <n v="6.29"/>
    <n v="1.2"/>
    <n v="5"/>
    <x v="136"/>
    <x v="0"/>
    <n v="38349.74"/>
  </r>
  <r>
    <x v="1"/>
    <x v="5"/>
    <x v="2"/>
    <x v="8"/>
    <s v="Electric"/>
    <x v="1"/>
    <n v="115859"/>
    <n v="326601"/>
    <n v="298"/>
    <n v="0.97"/>
    <n v="6.29"/>
    <n v="1.2"/>
    <n v="8"/>
    <x v="246"/>
    <x v="0"/>
    <n v="117249.308"/>
  </r>
  <r>
    <x v="9"/>
    <x v="10"/>
    <x v="0"/>
    <x v="0"/>
    <s v="Sedan"/>
    <x v="3"/>
    <n v="47352"/>
    <n v="379744"/>
    <n v="240"/>
    <n v="0.97"/>
    <n v="6.29"/>
    <n v="1.2"/>
    <n v="10"/>
    <x v="246"/>
    <x v="0"/>
    <n v="47920.224000000002"/>
  </r>
  <r>
    <x v="1"/>
    <x v="9"/>
    <x v="6"/>
    <x v="5"/>
    <s v="Sedan"/>
    <x v="2"/>
    <n v="84737"/>
    <n v="153619"/>
    <n v="27"/>
    <n v="0.97"/>
    <n v="6.29"/>
    <n v="1.2"/>
    <n v="5"/>
    <x v="533"/>
    <x v="0"/>
    <n v="85753.843999999997"/>
  </r>
  <r>
    <x v="4"/>
    <x v="2"/>
    <x v="6"/>
    <x v="9"/>
    <s v="Electric"/>
    <x v="2"/>
    <n v="67016"/>
    <n v="388246"/>
    <n v="82"/>
    <n v="0.97"/>
    <n v="6.29"/>
    <n v="1.2"/>
    <n v="2"/>
    <x v="420"/>
    <x v="1"/>
    <n v="60314.400000000001"/>
  </r>
  <r>
    <x v="5"/>
    <x v="11"/>
    <x v="1"/>
    <x v="0"/>
    <s v="Electric"/>
    <x v="0"/>
    <n v="96304"/>
    <n v="83085"/>
    <n v="198"/>
    <n v="0.97"/>
    <n v="6.29"/>
    <n v="1.2"/>
    <n v="3"/>
    <x v="418"/>
    <x v="0"/>
    <n v="97459.648000000001"/>
  </r>
  <r>
    <x v="9"/>
    <x v="8"/>
    <x v="7"/>
    <x v="2"/>
    <s v="Electric"/>
    <x v="1"/>
    <n v="46962"/>
    <n v="147064"/>
    <n v="26"/>
    <n v="0.97"/>
    <n v="6.29"/>
    <n v="1.2"/>
    <n v="6"/>
    <x v="45"/>
    <x v="0"/>
    <n v="47525.544000000002"/>
  </r>
  <r>
    <x v="7"/>
    <x v="11"/>
    <x v="2"/>
    <x v="0"/>
    <s v="SUV"/>
    <x v="3"/>
    <n v="68302"/>
    <n v="231726"/>
    <n v="28"/>
    <n v="0.97"/>
    <n v="6.29"/>
    <n v="1.2"/>
    <n v="5"/>
    <x v="534"/>
    <x v="0"/>
    <n v="69121.623999999996"/>
  </r>
  <r>
    <x v="1"/>
    <x v="9"/>
    <x v="0"/>
    <x v="1"/>
    <s v="Sedan"/>
    <x v="1"/>
    <n v="39011"/>
    <n v="449346"/>
    <n v="228"/>
    <n v="0.97"/>
    <n v="6.29"/>
    <n v="1.2"/>
    <n v="4"/>
    <x v="62"/>
    <x v="0"/>
    <n v="39479.131999999998"/>
  </r>
  <r>
    <x v="6"/>
    <x v="8"/>
    <x v="4"/>
    <x v="3"/>
    <s v="Electric"/>
    <x v="3"/>
    <n v="54782"/>
    <n v="155723"/>
    <n v="335"/>
    <n v="0.97"/>
    <n v="6.29"/>
    <n v="1.2"/>
    <n v="4"/>
    <x v="87"/>
    <x v="0"/>
    <n v="55439.383999999998"/>
  </r>
  <r>
    <x v="7"/>
    <x v="5"/>
    <x v="0"/>
    <x v="7"/>
    <s v="SUV"/>
    <x v="0"/>
    <n v="102691"/>
    <n v="183114"/>
    <n v="129"/>
    <n v="0.97"/>
    <n v="6.29"/>
    <n v="1.2"/>
    <n v="5"/>
    <x v="535"/>
    <x v="0"/>
    <n v="103923.292"/>
  </r>
  <r>
    <x v="2"/>
    <x v="1"/>
    <x v="1"/>
    <x v="5"/>
    <s v="Sedan"/>
    <x v="3"/>
    <n v="74725"/>
    <n v="382278"/>
    <n v="110"/>
    <n v="0.97"/>
    <n v="6.29"/>
    <n v="1.2"/>
    <n v="2"/>
    <x v="536"/>
    <x v="1"/>
    <n v="67252.5"/>
  </r>
  <r>
    <x v="2"/>
    <x v="7"/>
    <x v="6"/>
    <x v="3"/>
    <s v="SUV"/>
    <x v="1"/>
    <n v="44196"/>
    <n v="355126"/>
    <n v="43"/>
    <n v="0.97"/>
    <n v="6.29"/>
    <n v="1.2"/>
    <n v="9"/>
    <x v="502"/>
    <x v="0"/>
    <n v="44726.351999999999"/>
  </r>
  <r>
    <x v="8"/>
    <x v="3"/>
    <x v="3"/>
    <x v="0"/>
    <s v="Sedan"/>
    <x v="1"/>
    <n v="78459"/>
    <n v="377329"/>
    <n v="93"/>
    <n v="0.97"/>
    <n v="6.29"/>
    <n v="1.2"/>
    <n v="2"/>
    <x v="57"/>
    <x v="1"/>
    <n v="70613.100000000006"/>
  </r>
  <r>
    <x v="5"/>
    <x v="9"/>
    <x v="4"/>
    <x v="9"/>
    <s v="SUV"/>
    <x v="0"/>
    <n v="113863"/>
    <n v="83477"/>
    <n v="205"/>
    <n v="0.97"/>
    <n v="6.29"/>
    <n v="1.2"/>
    <n v="10"/>
    <x v="537"/>
    <x v="0"/>
    <n v="115229.356"/>
  </r>
  <r>
    <x v="4"/>
    <x v="2"/>
    <x v="8"/>
    <x v="7"/>
    <s v="Sedan"/>
    <x v="1"/>
    <n v="67769"/>
    <n v="164161"/>
    <n v="339"/>
    <n v="0.97"/>
    <n v="6.29"/>
    <n v="1.2"/>
    <n v="2"/>
    <x v="538"/>
    <x v="2"/>
    <n v="67769"/>
  </r>
  <r>
    <x v="9"/>
    <x v="6"/>
    <x v="9"/>
    <x v="8"/>
    <s v="Sedan"/>
    <x v="3"/>
    <n v="59700"/>
    <n v="364853"/>
    <n v="211"/>
    <n v="0.97"/>
    <n v="6.29"/>
    <n v="1.2"/>
    <n v="10"/>
    <x v="467"/>
    <x v="0"/>
    <n v="60416.4"/>
  </r>
  <r>
    <x v="3"/>
    <x v="9"/>
    <x v="3"/>
    <x v="6"/>
    <s v="SUV"/>
    <x v="0"/>
    <n v="115356"/>
    <n v="209788"/>
    <n v="353"/>
    <n v="0.97"/>
    <n v="6.29"/>
    <n v="1.2"/>
    <n v="9"/>
    <x v="305"/>
    <x v="0"/>
    <n v="116740.272"/>
  </r>
  <r>
    <x v="6"/>
    <x v="9"/>
    <x v="9"/>
    <x v="7"/>
    <s v="Electric"/>
    <x v="3"/>
    <n v="111427"/>
    <n v="390281"/>
    <n v="350"/>
    <n v="0.97"/>
    <n v="6.29"/>
    <n v="1.2"/>
    <n v="3"/>
    <x v="539"/>
    <x v="0"/>
    <n v="112764.124"/>
  </r>
  <r>
    <x v="1"/>
    <x v="8"/>
    <x v="2"/>
    <x v="1"/>
    <s v="Sedan"/>
    <x v="1"/>
    <n v="40269"/>
    <n v="348162"/>
    <n v="20"/>
    <n v="0.97"/>
    <n v="6.29"/>
    <n v="1.2"/>
    <n v="10"/>
    <x v="48"/>
    <x v="0"/>
    <n v="40752.228000000003"/>
  </r>
  <r>
    <x v="4"/>
    <x v="0"/>
    <x v="7"/>
    <x v="1"/>
    <s v="Electric"/>
    <x v="0"/>
    <n v="78880"/>
    <n v="189133"/>
    <n v="356"/>
    <n v="0.97"/>
    <n v="6.29"/>
    <n v="1.2"/>
    <n v="7"/>
    <x v="540"/>
    <x v="0"/>
    <n v="79826.559999999998"/>
  </r>
  <r>
    <x v="7"/>
    <x v="10"/>
    <x v="4"/>
    <x v="0"/>
    <s v="SUV"/>
    <x v="3"/>
    <n v="43320"/>
    <n v="189681"/>
    <n v="227"/>
    <n v="0.97"/>
    <n v="6.29"/>
    <n v="1.2"/>
    <n v="4"/>
    <x v="420"/>
    <x v="0"/>
    <n v="43839.840000000004"/>
  </r>
  <r>
    <x v="2"/>
    <x v="2"/>
    <x v="5"/>
    <x v="2"/>
    <s v="Electric"/>
    <x v="1"/>
    <n v="84589"/>
    <n v="347515"/>
    <n v="262"/>
    <n v="0.97"/>
    <n v="6.29"/>
    <n v="1.2"/>
    <n v="6"/>
    <x v="541"/>
    <x v="0"/>
    <n v="85604.067999999999"/>
  </r>
  <r>
    <x v="6"/>
    <x v="0"/>
    <x v="4"/>
    <x v="1"/>
    <s v="Electric"/>
    <x v="1"/>
    <n v="111276"/>
    <n v="291422"/>
    <n v="231"/>
    <n v="0.97"/>
    <n v="6.29"/>
    <n v="1.2"/>
    <n v="4"/>
    <x v="542"/>
    <x v="0"/>
    <n v="112611.31200000001"/>
  </r>
  <r>
    <x v="3"/>
    <x v="5"/>
    <x v="0"/>
    <x v="1"/>
    <s v="Electric"/>
    <x v="2"/>
    <n v="70897"/>
    <n v="395165"/>
    <n v="392"/>
    <n v="0.97"/>
    <n v="6.29"/>
    <n v="1.2"/>
    <n v="10"/>
    <x v="543"/>
    <x v="0"/>
    <n v="71747.763999999996"/>
  </r>
  <r>
    <x v="9"/>
    <x v="6"/>
    <x v="6"/>
    <x v="9"/>
    <s v="Electric"/>
    <x v="1"/>
    <n v="93565"/>
    <n v="464021"/>
    <n v="378"/>
    <n v="0.97"/>
    <n v="6.29"/>
    <n v="1.2"/>
    <n v="7"/>
    <x v="497"/>
    <x v="0"/>
    <n v="94687.78"/>
  </r>
  <r>
    <x v="8"/>
    <x v="1"/>
    <x v="0"/>
    <x v="0"/>
    <s v="Electric"/>
    <x v="3"/>
    <n v="65930"/>
    <n v="320001"/>
    <n v="89"/>
    <n v="0.97"/>
    <n v="6.29"/>
    <n v="1.2"/>
    <n v="1"/>
    <x v="544"/>
    <x v="1"/>
    <n v="59337"/>
  </r>
  <r>
    <x v="3"/>
    <x v="4"/>
    <x v="0"/>
    <x v="7"/>
    <s v="Sedan"/>
    <x v="0"/>
    <n v="92233"/>
    <n v="192692"/>
    <n v="16"/>
    <n v="0.97"/>
    <n v="6.29"/>
    <n v="1.2"/>
    <n v="3"/>
    <x v="545"/>
    <x v="0"/>
    <n v="93339.796000000002"/>
  </r>
  <r>
    <x v="6"/>
    <x v="5"/>
    <x v="2"/>
    <x v="2"/>
    <s v="Sedan"/>
    <x v="2"/>
    <n v="117821"/>
    <n v="58177"/>
    <n v="281"/>
    <n v="0.97"/>
    <n v="6.29"/>
    <n v="1.2"/>
    <n v="3"/>
    <x v="182"/>
    <x v="0"/>
    <n v="119234.852"/>
  </r>
  <r>
    <x v="3"/>
    <x v="4"/>
    <x v="3"/>
    <x v="3"/>
    <s v="Sedan"/>
    <x v="1"/>
    <n v="49380"/>
    <n v="473327"/>
    <n v="236"/>
    <n v="0.97"/>
    <n v="6.29"/>
    <n v="1.2"/>
    <n v="1"/>
    <x v="546"/>
    <x v="1"/>
    <n v="44442"/>
  </r>
  <r>
    <x v="6"/>
    <x v="2"/>
    <x v="5"/>
    <x v="6"/>
    <s v="SUV"/>
    <x v="1"/>
    <n v="111896"/>
    <n v="301842"/>
    <n v="25"/>
    <n v="0.97"/>
    <n v="6.29"/>
    <n v="1.2"/>
    <n v="6"/>
    <x v="45"/>
    <x v="0"/>
    <n v="113238.75200000001"/>
  </r>
  <r>
    <x v="6"/>
    <x v="2"/>
    <x v="5"/>
    <x v="5"/>
    <s v="Electric"/>
    <x v="1"/>
    <n v="105934"/>
    <n v="400722"/>
    <n v="21"/>
    <n v="0.97"/>
    <n v="6.29"/>
    <n v="1.2"/>
    <n v="9"/>
    <x v="547"/>
    <x v="0"/>
    <n v="107205.208"/>
  </r>
  <r>
    <x v="0"/>
    <x v="4"/>
    <x v="0"/>
    <x v="8"/>
    <s v="Sedan"/>
    <x v="3"/>
    <n v="90830"/>
    <n v="139941"/>
    <n v="300"/>
    <n v="0.97"/>
    <n v="6.29"/>
    <n v="1.2"/>
    <n v="8"/>
    <x v="548"/>
    <x v="0"/>
    <n v="91919.96"/>
  </r>
  <r>
    <x v="1"/>
    <x v="2"/>
    <x v="9"/>
    <x v="1"/>
    <s v="SUV"/>
    <x v="2"/>
    <n v="40529"/>
    <n v="308121"/>
    <n v="250"/>
    <n v="0.97"/>
    <n v="6.29"/>
    <n v="1.2"/>
    <n v="7"/>
    <x v="307"/>
    <x v="0"/>
    <n v="41015.347999999998"/>
  </r>
  <r>
    <x v="2"/>
    <x v="1"/>
    <x v="2"/>
    <x v="0"/>
    <s v="Sedan"/>
    <x v="3"/>
    <n v="117987"/>
    <n v="61826"/>
    <n v="30"/>
    <n v="0.97"/>
    <n v="6.29"/>
    <n v="1.2"/>
    <n v="10"/>
    <x v="549"/>
    <x v="0"/>
    <n v="119402.844"/>
  </r>
  <r>
    <x v="0"/>
    <x v="11"/>
    <x v="0"/>
    <x v="5"/>
    <s v="Sedan"/>
    <x v="2"/>
    <n v="84178"/>
    <n v="194962"/>
    <n v="187"/>
    <n v="0.97"/>
    <n v="6.29"/>
    <n v="1.2"/>
    <n v="8"/>
    <x v="550"/>
    <x v="0"/>
    <n v="85188.135999999999"/>
  </r>
  <r>
    <x v="9"/>
    <x v="0"/>
    <x v="7"/>
    <x v="8"/>
    <s v="Electric"/>
    <x v="0"/>
    <n v="41937"/>
    <n v="394572"/>
    <n v="237"/>
    <n v="0.97"/>
    <n v="6.29"/>
    <n v="1.2"/>
    <n v="6"/>
    <x v="15"/>
    <x v="0"/>
    <n v="42440.243999999999"/>
  </r>
  <r>
    <x v="0"/>
    <x v="9"/>
    <x v="6"/>
    <x v="8"/>
    <s v="SUV"/>
    <x v="3"/>
    <n v="74886"/>
    <n v="176044"/>
    <n v="282"/>
    <n v="0.97"/>
    <n v="6.29"/>
    <n v="1.2"/>
    <n v="9"/>
    <x v="399"/>
    <x v="0"/>
    <n v="75784.631999999998"/>
  </r>
  <r>
    <x v="5"/>
    <x v="7"/>
    <x v="3"/>
    <x v="3"/>
    <s v="Electric"/>
    <x v="3"/>
    <n v="84699"/>
    <n v="239103"/>
    <n v="297"/>
    <n v="0.97"/>
    <n v="6.29"/>
    <n v="1.2"/>
    <n v="3"/>
    <x v="194"/>
    <x v="0"/>
    <n v="85715.388000000006"/>
  </r>
  <r>
    <x v="5"/>
    <x v="4"/>
    <x v="8"/>
    <x v="3"/>
    <s v="Electric"/>
    <x v="0"/>
    <n v="111396"/>
    <n v="387164"/>
    <n v="306"/>
    <n v="0.97"/>
    <n v="6.29"/>
    <n v="1.2"/>
    <n v="10"/>
    <x v="488"/>
    <x v="0"/>
    <n v="112732.75200000001"/>
  </r>
  <r>
    <x v="2"/>
    <x v="6"/>
    <x v="7"/>
    <x v="3"/>
    <s v="Sedan"/>
    <x v="2"/>
    <n v="60279"/>
    <n v="55495"/>
    <n v="143"/>
    <n v="0.97"/>
    <n v="6.29"/>
    <n v="1.2"/>
    <n v="10"/>
    <x v="551"/>
    <x v="0"/>
    <n v="61002.347999999998"/>
  </r>
  <r>
    <x v="3"/>
    <x v="5"/>
    <x v="9"/>
    <x v="4"/>
    <s v="Electric"/>
    <x v="1"/>
    <n v="73106"/>
    <n v="78481"/>
    <n v="292"/>
    <n v="0.97"/>
    <n v="6.29"/>
    <n v="1.2"/>
    <n v="9"/>
    <x v="316"/>
    <x v="0"/>
    <n v="73983.271999999997"/>
  </r>
  <r>
    <x v="1"/>
    <x v="11"/>
    <x v="4"/>
    <x v="4"/>
    <s v="SUV"/>
    <x v="0"/>
    <n v="114737"/>
    <n v="192339"/>
    <n v="162"/>
    <n v="0.97"/>
    <n v="6.29"/>
    <n v="1.2"/>
    <n v="4"/>
    <x v="552"/>
    <x v="0"/>
    <n v="116113.844"/>
  </r>
  <r>
    <x v="2"/>
    <x v="4"/>
    <x v="4"/>
    <x v="8"/>
    <s v="Electric"/>
    <x v="1"/>
    <n v="75544"/>
    <n v="430041"/>
    <n v="75"/>
    <n v="0.97"/>
    <n v="6.29"/>
    <n v="1.2"/>
    <n v="7"/>
    <x v="332"/>
    <x v="0"/>
    <n v="76450.528000000006"/>
  </r>
  <r>
    <x v="6"/>
    <x v="11"/>
    <x v="7"/>
    <x v="3"/>
    <s v="Electric"/>
    <x v="1"/>
    <n v="43997"/>
    <n v="286774"/>
    <n v="146"/>
    <n v="0.97"/>
    <n v="6.29"/>
    <n v="1.2"/>
    <n v="9"/>
    <x v="32"/>
    <x v="0"/>
    <n v="44524.964"/>
  </r>
  <r>
    <x v="7"/>
    <x v="11"/>
    <x v="0"/>
    <x v="9"/>
    <s v="Electric"/>
    <x v="0"/>
    <n v="75860"/>
    <n v="187815"/>
    <n v="101"/>
    <n v="0.97"/>
    <n v="6.29"/>
    <n v="1.2"/>
    <n v="2"/>
    <x v="553"/>
    <x v="2"/>
    <n v="75860"/>
  </r>
  <r>
    <x v="1"/>
    <x v="4"/>
    <x v="8"/>
    <x v="1"/>
    <s v="Sedan"/>
    <x v="2"/>
    <n v="38225"/>
    <n v="498016"/>
    <n v="326"/>
    <n v="0.97"/>
    <n v="6.29"/>
    <n v="1.2"/>
    <n v="2"/>
    <x v="371"/>
    <x v="1"/>
    <n v="34402.5"/>
  </r>
  <r>
    <x v="1"/>
    <x v="8"/>
    <x v="1"/>
    <x v="5"/>
    <s v="SUV"/>
    <x v="1"/>
    <n v="94470"/>
    <n v="153475"/>
    <n v="268"/>
    <n v="0.97"/>
    <n v="6.29"/>
    <n v="1.2"/>
    <n v="9"/>
    <x v="554"/>
    <x v="0"/>
    <n v="95603.64"/>
  </r>
  <r>
    <x v="6"/>
    <x v="10"/>
    <x v="1"/>
    <x v="5"/>
    <s v="Sedan"/>
    <x v="0"/>
    <n v="98656"/>
    <n v="229845"/>
    <n v="112"/>
    <n v="0.97"/>
    <n v="6.29"/>
    <n v="1.2"/>
    <n v="3"/>
    <x v="375"/>
    <x v="0"/>
    <n v="99839.872000000003"/>
  </r>
  <r>
    <x v="6"/>
    <x v="6"/>
    <x v="9"/>
    <x v="4"/>
    <s v="Sedan"/>
    <x v="3"/>
    <n v="86880"/>
    <n v="369186"/>
    <n v="64"/>
    <n v="0.97"/>
    <n v="6.29"/>
    <n v="1.2"/>
    <n v="9"/>
    <x v="555"/>
    <x v="0"/>
    <n v="87922.559999999998"/>
  </r>
  <r>
    <x v="8"/>
    <x v="9"/>
    <x v="0"/>
    <x v="8"/>
    <s v="Sedan"/>
    <x v="3"/>
    <n v="96078"/>
    <n v="99476"/>
    <n v="266"/>
    <n v="0.97"/>
    <n v="6.29"/>
    <n v="1.2"/>
    <n v="5"/>
    <x v="447"/>
    <x v="0"/>
    <n v="97230.936000000002"/>
  </r>
  <r>
    <x v="2"/>
    <x v="9"/>
    <x v="5"/>
    <x v="0"/>
    <s v="Sedan"/>
    <x v="3"/>
    <n v="111290"/>
    <n v="273177"/>
    <n v="110"/>
    <n v="0.97"/>
    <n v="6.29"/>
    <n v="1.2"/>
    <n v="6"/>
    <x v="556"/>
    <x v="0"/>
    <n v="112625.48"/>
  </r>
  <r>
    <x v="6"/>
    <x v="6"/>
    <x v="5"/>
    <x v="7"/>
    <s v="Sedan"/>
    <x v="0"/>
    <n v="91633"/>
    <n v="340696"/>
    <n v="207"/>
    <n v="0.97"/>
    <n v="6.29"/>
    <n v="1.2"/>
    <n v="2"/>
    <x v="84"/>
    <x v="1"/>
    <n v="82469.7"/>
  </r>
  <r>
    <x v="5"/>
    <x v="8"/>
    <x v="3"/>
    <x v="7"/>
    <s v="SUV"/>
    <x v="3"/>
    <n v="61655"/>
    <n v="246314"/>
    <n v="310"/>
    <n v="0.97"/>
    <n v="6.29"/>
    <n v="1.2"/>
    <n v="8"/>
    <x v="87"/>
    <x v="0"/>
    <n v="62394.86"/>
  </r>
  <r>
    <x v="9"/>
    <x v="2"/>
    <x v="8"/>
    <x v="4"/>
    <s v="Electric"/>
    <x v="1"/>
    <n v="78601"/>
    <n v="488988"/>
    <n v="235"/>
    <n v="0.97"/>
    <n v="6.29"/>
    <n v="1.2"/>
    <n v="9"/>
    <x v="557"/>
    <x v="0"/>
    <n v="79544.212"/>
  </r>
  <r>
    <x v="7"/>
    <x v="9"/>
    <x v="8"/>
    <x v="0"/>
    <s v="Sedan"/>
    <x v="3"/>
    <n v="38114"/>
    <n v="486946"/>
    <n v="246"/>
    <n v="0.97"/>
    <n v="6.29"/>
    <n v="1.2"/>
    <n v="2"/>
    <x v="558"/>
    <x v="1"/>
    <n v="34302.6"/>
  </r>
  <r>
    <x v="2"/>
    <x v="11"/>
    <x v="4"/>
    <x v="4"/>
    <s v="Sedan"/>
    <x v="3"/>
    <n v="61502"/>
    <n v="210020"/>
    <n v="35"/>
    <n v="0.97"/>
    <n v="6.29"/>
    <n v="1.2"/>
    <n v="6"/>
    <x v="559"/>
    <x v="0"/>
    <n v="62240.023999999998"/>
  </r>
  <r>
    <x v="4"/>
    <x v="1"/>
    <x v="2"/>
    <x v="7"/>
    <s v="SUV"/>
    <x v="1"/>
    <n v="84768"/>
    <n v="257383"/>
    <n v="130"/>
    <n v="0.97"/>
    <n v="6.29"/>
    <n v="1.2"/>
    <n v="6"/>
    <x v="96"/>
    <x v="0"/>
    <n v="85785.216"/>
  </r>
  <r>
    <x v="5"/>
    <x v="5"/>
    <x v="9"/>
    <x v="0"/>
    <s v="SUV"/>
    <x v="3"/>
    <n v="83128"/>
    <n v="119093"/>
    <n v="191"/>
    <n v="0.97"/>
    <n v="6.29"/>
    <n v="1.2"/>
    <n v="8"/>
    <x v="390"/>
    <x v="0"/>
    <n v="84125.536000000007"/>
  </r>
  <r>
    <x v="3"/>
    <x v="0"/>
    <x v="1"/>
    <x v="3"/>
    <s v="Electric"/>
    <x v="1"/>
    <n v="55028"/>
    <n v="119123"/>
    <n v="208"/>
    <n v="0.97"/>
    <n v="6.29"/>
    <n v="1.2"/>
    <n v="10"/>
    <x v="134"/>
    <x v="0"/>
    <n v="55688.336000000003"/>
  </r>
  <r>
    <x v="6"/>
    <x v="9"/>
    <x v="9"/>
    <x v="8"/>
    <s v="SUV"/>
    <x v="3"/>
    <n v="90565"/>
    <n v="66535"/>
    <n v="311"/>
    <n v="0.97"/>
    <n v="6.29"/>
    <n v="1.2"/>
    <n v="5"/>
    <x v="242"/>
    <x v="0"/>
    <n v="91651.78"/>
  </r>
  <r>
    <x v="4"/>
    <x v="6"/>
    <x v="5"/>
    <x v="5"/>
    <s v="Electric"/>
    <x v="1"/>
    <n v="118123"/>
    <n v="378634"/>
    <n v="264"/>
    <n v="0.97"/>
    <n v="6.29"/>
    <n v="1.2"/>
    <n v="9"/>
    <x v="560"/>
    <x v="0"/>
    <n v="119540.476"/>
  </r>
  <r>
    <x v="6"/>
    <x v="1"/>
    <x v="5"/>
    <x v="9"/>
    <s v="Sedan"/>
    <x v="3"/>
    <n v="70333"/>
    <n v="96562"/>
    <n v="131"/>
    <n v="0.97"/>
    <n v="6.29"/>
    <n v="1.2"/>
    <n v="1"/>
    <x v="561"/>
    <x v="2"/>
    <n v="70333"/>
  </r>
  <r>
    <x v="1"/>
    <x v="4"/>
    <x v="7"/>
    <x v="2"/>
    <s v="Sedan"/>
    <x v="1"/>
    <n v="38174"/>
    <n v="431186"/>
    <n v="40"/>
    <n v="0.97"/>
    <n v="6.29"/>
    <n v="1.2"/>
    <n v="9"/>
    <x v="227"/>
    <x v="0"/>
    <n v="38632.088000000003"/>
  </r>
  <r>
    <x v="5"/>
    <x v="10"/>
    <x v="3"/>
    <x v="8"/>
    <s v="Electric"/>
    <x v="0"/>
    <n v="70398"/>
    <n v="306323"/>
    <n v="324"/>
    <n v="0.97"/>
    <n v="6.29"/>
    <n v="1.2"/>
    <n v="10"/>
    <x v="62"/>
    <x v="0"/>
    <n v="71242.775999999998"/>
  </r>
  <r>
    <x v="1"/>
    <x v="6"/>
    <x v="8"/>
    <x v="3"/>
    <s v="SUV"/>
    <x v="1"/>
    <n v="70929"/>
    <n v="401224"/>
    <n v="294"/>
    <n v="0.97"/>
    <n v="6.29"/>
    <n v="1.2"/>
    <n v="7"/>
    <x v="366"/>
    <x v="0"/>
    <n v="71780.148000000001"/>
  </r>
  <r>
    <x v="8"/>
    <x v="2"/>
    <x v="6"/>
    <x v="7"/>
    <s v="Electric"/>
    <x v="3"/>
    <n v="39321"/>
    <n v="308916"/>
    <n v="115"/>
    <n v="0.97"/>
    <n v="6.29"/>
    <n v="1.2"/>
    <n v="4"/>
    <x v="206"/>
    <x v="0"/>
    <n v="39792.851999999999"/>
  </r>
  <r>
    <x v="1"/>
    <x v="11"/>
    <x v="9"/>
    <x v="3"/>
    <s v="SUV"/>
    <x v="3"/>
    <n v="90421"/>
    <n v="239607"/>
    <n v="233"/>
    <n v="0.97"/>
    <n v="6.29"/>
    <n v="1.2"/>
    <n v="3"/>
    <x v="435"/>
    <x v="0"/>
    <n v="91506.051999999996"/>
  </r>
  <r>
    <x v="8"/>
    <x v="10"/>
    <x v="5"/>
    <x v="4"/>
    <s v="Sedan"/>
    <x v="2"/>
    <n v="107635"/>
    <n v="280063"/>
    <n v="282"/>
    <n v="0.97"/>
    <n v="6.29"/>
    <n v="1.2"/>
    <n v="10"/>
    <x v="307"/>
    <x v="0"/>
    <n v="108926.62"/>
  </r>
  <r>
    <x v="8"/>
    <x v="5"/>
    <x v="2"/>
    <x v="0"/>
    <s v="SUV"/>
    <x v="1"/>
    <n v="58760"/>
    <n v="91269"/>
    <n v="241"/>
    <n v="0.97"/>
    <n v="6.29"/>
    <n v="1.2"/>
    <n v="6"/>
    <x v="144"/>
    <x v="0"/>
    <n v="59465.120000000003"/>
  </r>
  <r>
    <x v="4"/>
    <x v="5"/>
    <x v="4"/>
    <x v="5"/>
    <s v="Electric"/>
    <x v="0"/>
    <n v="46360"/>
    <n v="130674"/>
    <n v="265"/>
    <n v="0.97"/>
    <n v="6.29"/>
    <n v="1.2"/>
    <n v="1"/>
    <x v="562"/>
    <x v="2"/>
    <n v="46360"/>
  </r>
  <r>
    <x v="6"/>
    <x v="8"/>
    <x v="1"/>
    <x v="1"/>
    <s v="Electric"/>
    <x v="1"/>
    <n v="45313"/>
    <n v="354606"/>
    <n v="33"/>
    <n v="0.97"/>
    <n v="6.29"/>
    <n v="1.2"/>
    <n v="3"/>
    <x v="131"/>
    <x v="0"/>
    <n v="45856.756000000001"/>
  </r>
  <r>
    <x v="3"/>
    <x v="7"/>
    <x v="3"/>
    <x v="4"/>
    <s v="Sedan"/>
    <x v="1"/>
    <n v="40801"/>
    <n v="446343"/>
    <n v="118"/>
    <n v="0.97"/>
    <n v="6.29"/>
    <n v="1.2"/>
    <n v="2"/>
    <x v="114"/>
    <x v="1"/>
    <n v="36720.9"/>
  </r>
  <r>
    <x v="1"/>
    <x v="8"/>
    <x v="2"/>
    <x v="8"/>
    <s v="SUV"/>
    <x v="0"/>
    <n v="49130"/>
    <n v="335291"/>
    <n v="200"/>
    <n v="0.97"/>
    <n v="6.29"/>
    <n v="1.2"/>
    <n v="9"/>
    <x v="270"/>
    <x v="0"/>
    <n v="49719.56"/>
  </r>
  <r>
    <x v="5"/>
    <x v="2"/>
    <x v="3"/>
    <x v="4"/>
    <s v="SUV"/>
    <x v="1"/>
    <n v="49271"/>
    <n v="488744"/>
    <n v="356"/>
    <n v="0.97"/>
    <n v="6.29"/>
    <n v="1.2"/>
    <n v="3"/>
    <x v="172"/>
    <x v="0"/>
    <n v="49862.252"/>
  </r>
  <r>
    <x v="8"/>
    <x v="1"/>
    <x v="7"/>
    <x v="8"/>
    <s v="SUV"/>
    <x v="0"/>
    <n v="51075"/>
    <n v="127095"/>
    <n v="34"/>
    <n v="0.97"/>
    <n v="6.29"/>
    <n v="1.2"/>
    <n v="2"/>
    <x v="160"/>
    <x v="2"/>
    <n v="51075"/>
  </r>
  <r>
    <x v="6"/>
    <x v="10"/>
    <x v="6"/>
    <x v="1"/>
    <s v="Sedan"/>
    <x v="0"/>
    <n v="53984"/>
    <n v="294172"/>
    <n v="196"/>
    <n v="0.97"/>
    <n v="6.29"/>
    <n v="1.2"/>
    <n v="4"/>
    <x v="393"/>
    <x v="0"/>
    <n v="54631.807999999997"/>
  </r>
  <r>
    <x v="7"/>
    <x v="7"/>
    <x v="5"/>
    <x v="6"/>
    <s v="SUV"/>
    <x v="1"/>
    <n v="95942"/>
    <n v="250003"/>
    <n v="297"/>
    <n v="0.97"/>
    <n v="6.29"/>
    <n v="1.2"/>
    <n v="2"/>
    <x v="563"/>
    <x v="2"/>
    <n v="95942"/>
  </r>
  <r>
    <x v="2"/>
    <x v="4"/>
    <x v="4"/>
    <x v="5"/>
    <s v="Electric"/>
    <x v="1"/>
    <n v="47861"/>
    <n v="140925"/>
    <n v="125"/>
    <n v="0.97"/>
    <n v="6.29"/>
    <n v="1.2"/>
    <n v="1"/>
    <x v="564"/>
    <x v="2"/>
    <n v="47861"/>
  </r>
  <r>
    <x v="4"/>
    <x v="11"/>
    <x v="2"/>
    <x v="9"/>
    <s v="SUV"/>
    <x v="3"/>
    <n v="117203"/>
    <n v="116381"/>
    <n v="347"/>
    <n v="0.97"/>
    <n v="6.29"/>
    <n v="1.2"/>
    <n v="6"/>
    <x v="565"/>
    <x v="0"/>
    <n v="118609.436"/>
  </r>
  <r>
    <x v="3"/>
    <x v="10"/>
    <x v="3"/>
    <x v="9"/>
    <s v="Sedan"/>
    <x v="3"/>
    <n v="106376"/>
    <n v="149468"/>
    <n v="375"/>
    <n v="0.97"/>
    <n v="6.29"/>
    <n v="1.2"/>
    <n v="10"/>
    <x v="123"/>
    <x v="0"/>
    <n v="107652.512"/>
  </r>
  <r>
    <x v="0"/>
    <x v="8"/>
    <x v="8"/>
    <x v="2"/>
    <s v="SUV"/>
    <x v="2"/>
    <n v="96247"/>
    <n v="292330"/>
    <n v="46"/>
    <n v="0.97"/>
    <n v="6.29"/>
    <n v="1.2"/>
    <n v="8"/>
    <x v="566"/>
    <x v="0"/>
    <n v="97401.964000000007"/>
  </r>
  <r>
    <x v="4"/>
    <x v="0"/>
    <x v="7"/>
    <x v="3"/>
    <s v="SUV"/>
    <x v="2"/>
    <n v="104101"/>
    <n v="375893"/>
    <n v="291"/>
    <n v="0.97"/>
    <n v="6.29"/>
    <n v="1.2"/>
    <n v="10"/>
    <x v="567"/>
    <x v="0"/>
    <n v="105350.212"/>
  </r>
  <r>
    <x v="7"/>
    <x v="3"/>
    <x v="8"/>
    <x v="6"/>
    <s v="Electric"/>
    <x v="1"/>
    <n v="55977"/>
    <n v="481888"/>
    <n v="146"/>
    <n v="0.97"/>
    <n v="6.29"/>
    <n v="1.2"/>
    <n v="10"/>
    <x v="568"/>
    <x v="0"/>
    <n v="56648.724000000002"/>
  </r>
  <r>
    <x v="2"/>
    <x v="7"/>
    <x v="4"/>
    <x v="9"/>
    <s v="SUV"/>
    <x v="0"/>
    <n v="85617"/>
    <n v="63731"/>
    <n v="236"/>
    <n v="0.97"/>
    <n v="6.29"/>
    <n v="1.2"/>
    <n v="2"/>
    <x v="239"/>
    <x v="2"/>
    <n v="85617"/>
  </r>
  <r>
    <x v="7"/>
    <x v="7"/>
    <x v="2"/>
    <x v="4"/>
    <s v="Electric"/>
    <x v="2"/>
    <n v="92473"/>
    <n v="436791"/>
    <n v="329"/>
    <n v="0.97"/>
    <n v="6.29"/>
    <n v="1.2"/>
    <n v="9"/>
    <x v="399"/>
    <x v="0"/>
    <n v="93582.676000000007"/>
  </r>
  <r>
    <x v="1"/>
    <x v="2"/>
    <x v="7"/>
    <x v="3"/>
    <s v="Electric"/>
    <x v="1"/>
    <n v="107902"/>
    <n v="497728"/>
    <n v="337"/>
    <n v="0.97"/>
    <n v="6.29"/>
    <n v="1.2"/>
    <n v="3"/>
    <x v="309"/>
    <x v="0"/>
    <n v="109196.82400000001"/>
  </r>
  <r>
    <x v="8"/>
    <x v="11"/>
    <x v="2"/>
    <x v="6"/>
    <s v="Sedan"/>
    <x v="2"/>
    <n v="50630"/>
    <n v="101024"/>
    <n v="191"/>
    <n v="0.97"/>
    <n v="6.29"/>
    <n v="1.2"/>
    <n v="8"/>
    <x v="127"/>
    <x v="0"/>
    <n v="51237.56"/>
  </r>
  <r>
    <x v="3"/>
    <x v="9"/>
    <x v="5"/>
    <x v="0"/>
    <s v="Electric"/>
    <x v="0"/>
    <n v="55056"/>
    <n v="166712"/>
    <n v="371"/>
    <n v="0.97"/>
    <n v="6.29"/>
    <n v="1.2"/>
    <n v="8"/>
    <x v="569"/>
    <x v="0"/>
    <n v="55716.671999999999"/>
  </r>
  <r>
    <x v="9"/>
    <x v="5"/>
    <x v="0"/>
    <x v="0"/>
    <s v="Electric"/>
    <x v="1"/>
    <n v="42382"/>
    <n v="151121"/>
    <n v="95"/>
    <n v="0.97"/>
    <n v="6.29"/>
    <n v="1.2"/>
    <n v="3"/>
    <x v="151"/>
    <x v="0"/>
    <n v="42890.584000000003"/>
  </r>
  <r>
    <x v="8"/>
    <x v="5"/>
    <x v="7"/>
    <x v="3"/>
    <s v="Sedan"/>
    <x v="0"/>
    <n v="90739"/>
    <n v="315976"/>
    <n v="62"/>
    <n v="0.97"/>
    <n v="6.29"/>
    <n v="1.2"/>
    <n v="3"/>
    <x v="157"/>
    <x v="0"/>
    <n v="91827.868000000002"/>
  </r>
  <r>
    <x v="9"/>
    <x v="0"/>
    <x v="8"/>
    <x v="8"/>
    <s v="Electric"/>
    <x v="1"/>
    <n v="116685"/>
    <n v="82332"/>
    <n v="357"/>
    <n v="0.97"/>
    <n v="6.29"/>
    <n v="1.2"/>
    <n v="6"/>
    <x v="570"/>
    <x v="0"/>
    <n v="118085.22"/>
  </r>
  <r>
    <x v="2"/>
    <x v="1"/>
    <x v="4"/>
    <x v="8"/>
    <s v="Sedan"/>
    <x v="2"/>
    <n v="83639"/>
    <n v="62467"/>
    <n v="364"/>
    <n v="0.97"/>
    <n v="6.29"/>
    <n v="1.2"/>
    <n v="1"/>
    <x v="571"/>
    <x v="2"/>
    <n v="83639"/>
  </r>
  <r>
    <x v="6"/>
    <x v="2"/>
    <x v="6"/>
    <x v="4"/>
    <s v="SUV"/>
    <x v="3"/>
    <n v="94838"/>
    <n v="91025"/>
    <n v="244"/>
    <n v="0.97"/>
    <n v="6.29"/>
    <n v="1.2"/>
    <n v="4"/>
    <x v="572"/>
    <x v="0"/>
    <n v="95976.055999999997"/>
  </r>
  <r>
    <x v="0"/>
    <x v="1"/>
    <x v="5"/>
    <x v="6"/>
    <s v="Sedan"/>
    <x v="2"/>
    <n v="81041"/>
    <n v="194179"/>
    <n v="276"/>
    <n v="0.97"/>
    <n v="6.29"/>
    <n v="1.2"/>
    <n v="1"/>
    <x v="350"/>
    <x v="2"/>
    <n v="81041"/>
  </r>
  <r>
    <x v="5"/>
    <x v="4"/>
    <x v="0"/>
    <x v="6"/>
    <s v="Electric"/>
    <x v="2"/>
    <n v="35992"/>
    <n v="127994"/>
    <n v="296"/>
    <n v="0.97"/>
    <n v="6.29"/>
    <n v="1.2"/>
    <n v="3"/>
    <x v="573"/>
    <x v="0"/>
    <n v="36423.904000000002"/>
  </r>
  <r>
    <x v="8"/>
    <x v="10"/>
    <x v="6"/>
    <x v="3"/>
    <s v="Sedan"/>
    <x v="3"/>
    <n v="107394"/>
    <n v="144202"/>
    <n v="109"/>
    <n v="0.97"/>
    <n v="6.29"/>
    <n v="1.2"/>
    <n v="9"/>
    <x v="533"/>
    <x v="0"/>
    <n v="108682.728"/>
  </r>
  <r>
    <x v="3"/>
    <x v="3"/>
    <x v="1"/>
    <x v="7"/>
    <s v="Electric"/>
    <x v="3"/>
    <n v="102657"/>
    <n v="93481"/>
    <n v="96"/>
    <n v="0.97"/>
    <n v="6.29"/>
    <n v="1.2"/>
    <n v="5"/>
    <x v="574"/>
    <x v="0"/>
    <n v="103888.88400000001"/>
  </r>
  <r>
    <x v="7"/>
    <x v="6"/>
    <x v="5"/>
    <x v="0"/>
    <s v="SUV"/>
    <x v="1"/>
    <n v="62160"/>
    <n v="445797"/>
    <n v="24"/>
    <n v="0.97"/>
    <n v="6.29"/>
    <n v="1.2"/>
    <n v="5"/>
    <x v="373"/>
    <x v="0"/>
    <n v="62905.919999999998"/>
  </r>
  <r>
    <x v="3"/>
    <x v="9"/>
    <x v="4"/>
    <x v="6"/>
    <s v="Sedan"/>
    <x v="1"/>
    <n v="80156"/>
    <n v="125118"/>
    <n v="110"/>
    <n v="0.97"/>
    <n v="6.29"/>
    <n v="1.2"/>
    <n v="4"/>
    <x v="575"/>
    <x v="0"/>
    <n v="81117.872000000003"/>
  </r>
  <r>
    <x v="2"/>
    <x v="8"/>
    <x v="3"/>
    <x v="3"/>
    <s v="SUV"/>
    <x v="0"/>
    <n v="86375"/>
    <n v="436154"/>
    <n v="174"/>
    <n v="0.97"/>
    <n v="6.29"/>
    <n v="1.2"/>
    <n v="3"/>
    <x v="383"/>
    <x v="0"/>
    <n v="87411.5"/>
  </r>
  <r>
    <x v="9"/>
    <x v="6"/>
    <x v="7"/>
    <x v="1"/>
    <s v="Electric"/>
    <x v="0"/>
    <n v="54572"/>
    <n v="494854"/>
    <n v="38"/>
    <n v="0.97"/>
    <n v="6.29"/>
    <n v="1.2"/>
    <n v="5"/>
    <x v="576"/>
    <x v="0"/>
    <n v="55226.864000000001"/>
  </r>
  <r>
    <x v="7"/>
    <x v="6"/>
    <x v="2"/>
    <x v="2"/>
    <s v="Electric"/>
    <x v="2"/>
    <n v="39136"/>
    <n v="173714"/>
    <n v="123"/>
    <n v="0.97"/>
    <n v="6.29"/>
    <n v="1.2"/>
    <n v="4"/>
    <x v="443"/>
    <x v="0"/>
    <n v="39605.631999999998"/>
  </r>
  <r>
    <x v="5"/>
    <x v="2"/>
    <x v="4"/>
    <x v="1"/>
    <s v="SUV"/>
    <x v="3"/>
    <n v="96868"/>
    <n v="451634"/>
    <n v="116"/>
    <n v="0.97"/>
    <n v="6.29"/>
    <n v="1.2"/>
    <n v="8"/>
    <x v="575"/>
    <x v="0"/>
    <n v="98030.415999999997"/>
  </r>
  <r>
    <x v="5"/>
    <x v="7"/>
    <x v="7"/>
    <x v="5"/>
    <s v="Sedan"/>
    <x v="0"/>
    <n v="117263"/>
    <n v="274699"/>
    <n v="373"/>
    <n v="0.97"/>
    <n v="6.29"/>
    <n v="1.2"/>
    <n v="4"/>
    <x v="94"/>
    <x v="0"/>
    <n v="118670.156"/>
  </r>
  <r>
    <x v="8"/>
    <x v="0"/>
    <x v="6"/>
    <x v="4"/>
    <s v="Sedan"/>
    <x v="2"/>
    <n v="67167"/>
    <n v="210185"/>
    <n v="139"/>
    <n v="0.97"/>
    <n v="6.29"/>
    <n v="1.2"/>
    <n v="8"/>
    <x v="39"/>
    <x v="0"/>
    <n v="67973.004000000001"/>
  </r>
  <r>
    <x v="2"/>
    <x v="5"/>
    <x v="2"/>
    <x v="6"/>
    <s v="Electric"/>
    <x v="3"/>
    <n v="50479"/>
    <n v="134363"/>
    <n v="93"/>
    <n v="0.97"/>
    <n v="6.29"/>
    <n v="1.2"/>
    <n v="6"/>
    <x v="349"/>
    <x v="0"/>
    <n v="51084.748"/>
  </r>
  <r>
    <x v="6"/>
    <x v="4"/>
    <x v="9"/>
    <x v="5"/>
    <s v="SUV"/>
    <x v="1"/>
    <n v="66376"/>
    <n v="435751"/>
    <n v="280"/>
    <n v="0.97"/>
    <n v="6.29"/>
    <n v="1.2"/>
    <n v="5"/>
    <x v="68"/>
    <x v="0"/>
    <n v="67172.512000000002"/>
  </r>
  <r>
    <x v="2"/>
    <x v="1"/>
    <x v="8"/>
    <x v="9"/>
    <s v="SUV"/>
    <x v="2"/>
    <n v="39823"/>
    <n v="375188"/>
    <n v="253"/>
    <n v="0.97"/>
    <n v="6.29"/>
    <n v="1.2"/>
    <n v="4"/>
    <x v="577"/>
    <x v="0"/>
    <n v="40300.876000000004"/>
  </r>
  <r>
    <x v="9"/>
    <x v="3"/>
    <x v="1"/>
    <x v="5"/>
    <s v="Sedan"/>
    <x v="1"/>
    <n v="105456"/>
    <n v="261027"/>
    <n v="397"/>
    <n v="0.97"/>
    <n v="6.29"/>
    <n v="1.2"/>
    <n v="4"/>
    <x v="578"/>
    <x v="0"/>
    <n v="106721.47199999999"/>
  </r>
  <r>
    <x v="3"/>
    <x v="2"/>
    <x v="5"/>
    <x v="3"/>
    <s v="Sedan"/>
    <x v="0"/>
    <n v="54585"/>
    <n v="323958"/>
    <n v="223"/>
    <n v="0.97"/>
    <n v="6.29"/>
    <n v="1.2"/>
    <n v="4"/>
    <x v="490"/>
    <x v="0"/>
    <n v="55240.020000000004"/>
  </r>
  <r>
    <x v="5"/>
    <x v="0"/>
    <x v="4"/>
    <x v="6"/>
    <s v="Sedan"/>
    <x v="0"/>
    <n v="52272"/>
    <n v="411484"/>
    <n v="315"/>
    <n v="0.97"/>
    <n v="6.29"/>
    <n v="1.2"/>
    <n v="9"/>
    <x v="579"/>
    <x v="0"/>
    <n v="52899.264000000003"/>
  </r>
  <r>
    <x v="3"/>
    <x v="7"/>
    <x v="1"/>
    <x v="2"/>
    <s v="SUV"/>
    <x v="3"/>
    <n v="61619"/>
    <n v="322168"/>
    <n v="175"/>
    <n v="0.97"/>
    <n v="6.29"/>
    <n v="1.2"/>
    <n v="4"/>
    <x v="580"/>
    <x v="0"/>
    <n v="62358.428"/>
  </r>
  <r>
    <x v="3"/>
    <x v="8"/>
    <x v="3"/>
    <x v="3"/>
    <s v="Sedan"/>
    <x v="2"/>
    <n v="110069"/>
    <n v="244360"/>
    <n v="288"/>
    <n v="0.97"/>
    <n v="6.29"/>
    <n v="1.2"/>
    <n v="9"/>
    <x v="581"/>
    <x v="0"/>
    <n v="111389.82799999999"/>
  </r>
  <r>
    <x v="3"/>
    <x v="4"/>
    <x v="7"/>
    <x v="3"/>
    <s v="Sedan"/>
    <x v="1"/>
    <n v="74895"/>
    <n v="421380"/>
    <n v="68"/>
    <n v="0.97"/>
    <n v="6.29"/>
    <n v="1.2"/>
    <n v="10"/>
    <x v="582"/>
    <x v="0"/>
    <n v="75793.740000000005"/>
  </r>
  <r>
    <x v="5"/>
    <x v="2"/>
    <x v="7"/>
    <x v="4"/>
    <s v="Electric"/>
    <x v="3"/>
    <n v="38720"/>
    <n v="107836"/>
    <n v="99"/>
    <n v="0.97"/>
    <n v="6.29"/>
    <n v="1.2"/>
    <n v="6"/>
    <x v="583"/>
    <x v="0"/>
    <n v="39184.639999999999"/>
  </r>
  <r>
    <x v="4"/>
    <x v="7"/>
    <x v="4"/>
    <x v="4"/>
    <s v="Sedan"/>
    <x v="0"/>
    <n v="54267"/>
    <n v="319579"/>
    <n v="380"/>
    <n v="0.97"/>
    <n v="6.29"/>
    <n v="1.2"/>
    <n v="10"/>
    <x v="584"/>
    <x v="0"/>
    <n v="54918.203999999998"/>
  </r>
  <r>
    <x v="1"/>
    <x v="3"/>
    <x v="0"/>
    <x v="0"/>
    <s v="Sedan"/>
    <x v="0"/>
    <n v="50696"/>
    <n v="305095"/>
    <n v="340"/>
    <n v="0.97"/>
    <n v="6.29"/>
    <n v="1.2"/>
    <n v="7"/>
    <x v="585"/>
    <x v="0"/>
    <n v="51304.351999999999"/>
  </r>
  <r>
    <x v="9"/>
    <x v="5"/>
    <x v="0"/>
    <x v="0"/>
    <s v="SUV"/>
    <x v="2"/>
    <n v="64968"/>
    <n v="382745"/>
    <n v="203"/>
    <n v="0.97"/>
    <n v="6.29"/>
    <n v="1.2"/>
    <n v="10"/>
    <x v="586"/>
    <x v="0"/>
    <n v="65747.615999999995"/>
  </r>
  <r>
    <x v="4"/>
    <x v="5"/>
    <x v="9"/>
    <x v="8"/>
    <s v="SUV"/>
    <x v="1"/>
    <n v="88364"/>
    <n v="311176"/>
    <n v="132"/>
    <n v="0.97"/>
    <n v="6.29"/>
    <n v="1.2"/>
    <n v="3"/>
    <x v="204"/>
    <x v="0"/>
    <n v="89424.368000000002"/>
  </r>
  <r>
    <x v="9"/>
    <x v="2"/>
    <x v="8"/>
    <x v="7"/>
    <s v="Electric"/>
    <x v="2"/>
    <n v="58345"/>
    <n v="433015"/>
    <n v="145"/>
    <n v="0.97"/>
    <n v="6.29"/>
    <n v="1.2"/>
    <n v="8"/>
    <x v="587"/>
    <x v="0"/>
    <n v="59045.14"/>
  </r>
  <r>
    <x v="7"/>
    <x v="5"/>
    <x v="2"/>
    <x v="6"/>
    <s v="Sedan"/>
    <x v="1"/>
    <n v="86567"/>
    <n v="299717"/>
    <n v="148"/>
    <n v="0.97"/>
    <n v="6.29"/>
    <n v="1.2"/>
    <n v="3"/>
    <x v="588"/>
    <x v="0"/>
    <n v="87605.804000000004"/>
  </r>
  <r>
    <x v="2"/>
    <x v="0"/>
    <x v="3"/>
    <x v="6"/>
    <s v="Electric"/>
    <x v="1"/>
    <n v="96607"/>
    <n v="184479"/>
    <n v="238"/>
    <n v="0.97"/>
    <n v="6.29"/>
    <n v="1.2"/>
    <n v="1"/>
    <x v="589"/>
    <x v="2"/>
    <n v="96607"/>
  </r>
  <r>
    <x v="2"/>
    <x v="0"/>
    <x v="1"/>
    <x v="5"/>
    <s v="SUV"/>
    <x v="2"/>
    <n v="54385"/>
    <n v="411087"/>
    <n v="283"/>
    <n v="0.97"/>
    <n v="6.29"/>
    <n v="1.2"/>
    <n v="10"/>
    <x v="590"/>
    <x v="0"/>
    <n v="55037.62"/>
  </r>
  <r>
    <x v="0"/>
    <x v="1"/>
    <x v="0"/>
    <x v="6"/>
    <s v="Electric"/>
    <x v="3"/>
    <n v="118658"/>
    <n v="82940"/>
    <n v="59"/>
    <n v="0.97"/>
    <n v="6.29"/>
    <n v="1.2"/>
    <n v="5"/>
    <x v="449"/>
    <x v="0"/>
    <n v="120081.89600000001"/>
  </r>
  <r>
    <x v="2"/>
    <x v="2"/>
    <x v="9"/>
    <x v="6"/>
    <s v="SUV"/>
    <x v="2"/>
    <n v="101900"/>
    <n v="55666"/>
    <n v="127"/>
    <n v="0.97"/>
    <n v="6.29"/>
    <n v="1.2"/>
    <n v="2"/>
    <x v="216"/>
    <x v="2"/>
    <n v="101900"/>
  </r>
  <r>
    <x v="5"/>
    <x v="1"/>
    <x v="9"/>
    <x v="7"/>
    <s v="Electric"/>
    <x v="2"/>
    <n v="103244"/>
    <n v="349266"/>
    <n v="211"/>
    <n v="0.97"/>
    <n v="6.29"/>
    <n v="1.2"/>
    <n v="10"/>
    <x v="591"/>
    <x v="0"/>
    <n v="104482.928"/>
  </r>
  <r>
    <x v="6"/>
    <x v="2"/>
    <x v="4"/>
    <x v="9"/>
    <s v="Electric"/>
    <x v="0"/>
    <n v="100425"/>
    <n v="430791"/>
    <n v="200"/>
    <n v="0.97"/>
    <n v="6.29"/>
    <n v="1.2"/>
    <n v="6"/>
    <x v="10"/>
    <x v="0"/>
    <n v="101630.1"/>
  </r>
  <r>
    <x v="8"/>
    <x v="8"/>
    <x v="3"/>
    <x v="0"/>
    <s v="Sedan"/>
    <x v="0"/>
    <n v="113518"/>
    <n v="206164"/>
    <n v="373"/>
    <n v="0.97"/>
    <n v="6.29"/>
    <n v="1.2"/>
    <n v="10"/>
    <x v="4"/>
    <x v="0"/>
    <n v="114880.216"/>
  </r>
  <r>
    <x v="0"/>
    <x v="2"/>
    <x v="6"/>
    <x v="0"/>
    <s v="Electric"/>
    <x v="2"/>
    <n v="117844"/>
    <n v="441897"/>
    <n v="332"/>
    <n v="0.97"/>
    <n v="6.29"/>
    <n v="1.2"/>
    <n v="9"/>
    <x v="423"/>
    <x v="0"/>
    <n v="119258.128"/>
  </r>
  <r>
    <x v="8"/>
    <x v="3"/>
    <x v="2"/>
    <x v="2"/>
    <s v="Sedan"/>
    <x v="2"/>
    <n v="67919"/>
    <n v="435546"/>
    <n v="190"/>
    <n v="0.97"/>
    <n v="6.29"/>
    <n v="1.2"/>
    <n v="1"/>
    <x v="568"/>
    <x v="1"/>
    <n v="61127.1"/>
  </r>
  <r>
    <x v="9"/>
    <x v="4"/>
    <x v="8"/>
    <x v="6"/>
    <s v="Sedan"/>
    <x v="0"/>
    <n v="92196"/>
    <n v="256717"/>
    <n v="87"/>
    <n v="0.97"/>
    <n v="6.29"/>
    <n v="1.2"/>
    <n v="4"/>
    <x v="592"/>
    <x v="0"/>
    <n v="93302.351999999999"/>
  </r>
  <r>
    <x v="8"/>
    <x v="11"/>
    <x v="5"/>
    <x v="7"/>
    <s v="Sedan"/>
    <x v="1"/>
    <n v="114401"/>
    <n v="413334"/>
    <n v="84"/>
    <n v="0.97"/>
    <n v="6.29"/>
    <n v="1.2"/>
    <n v="1"/>
    <x v="593"/>
    <x v="1"/>
    <n v="102960.90000000001"/>
  </r>
  <r>
    <x v="8"/>
    <x v="11"/>
    <x v="4"/>
    <x v="0"/>
    <s v="Sedan"/>
    <x v="2"/>
    <n v="35495"/>
    <n v="412612"/>
    <n v="304"/>
    <n v="0.97"/>
    <n v="6.29"/>
    <n v="1.2"/>
    <n v="1"/>
    <x v="594"/>
    <x v="1"/>
    <n v="31945.5"/>
  </r>
  <r>
    <x v="0"/>
    <x v="7"/>
    <x v="2"/>
    <x v="7"/>
    <s v="Electric"/>
    <x v="3"/>
    <n v="79755"/>
    <n v="441351"/>
    <n v="290"/>
    <n v="0.97"/>
    <n v="6.29"/>
    <n v="1.2"/>
    <n v="8"/>
    <x v="381"/>
    <x v="0"/>
    <n v="80712.06"/>
  </r>
  <r>
    <x v="7"/>
    <x v="5"/>
    <x v="5"/>
    <x v="1"/>
    <s v="SUV"/>
    <x v="3"/>
    <n v="102684"/>
    <n v="76505"/>
    <n v="30"/>
    <n v="0.97"/>
    <n v="6.29"/>
    <n v="1.2"/>
    <n v="2"/>
    <x v="595"/>
    <x v="2"/>
    <n v="102684"/>
  </r>
  <r>
    <x v="3"/>
    <x v="4"/>
    <x v="5"/>
    <x v="9"/>
    <s v="SUV"/>
    <x v="3"/>
    <n v="68324"/>
    <n v="86713"/>
    <n v="180"/>
    <n v="0.97"/>
    <n v="6.29"/>
    <n v="1.2"/>
    <n v="1"/>
    <x v="350"/>
    <x v="2"/>
    <n v="68324"/>
  </r>
  <r>
    <x v="2"/>
    <x v="6"/>
    <x v="3"/>
    <x v="6"/>
    <s v="SUV"/>
    <x v="2"/>
    <n v="113929"/>
    <n v="497603"/>
    <n v="24"/>
    <n v="0.97"/>
    <n v="6.29"/>
    <n v="1.2"/>
    <n v="8"/>
    <x v="0"/>
    <x v="0"/>
    <n v="115296.148"/>
  </r>
  <r>
    <x v="2"/>
    <x v="0"/>
    <x v="3"/>
    <x v="2"/>
    <s v="Electric"/>
    <x v="1"/>
    <n v="36552"/>
    <n v="355313"/>
    <n v="220"/>
    <n v="0.97"/>
    <n v="6.29"/>
    <n v="1.2"/>
    <n v="4"/>
    <x v="335"/>
    <x v="0"/>
    <n v="36990.624000000003"/>
  </r>
  <r>
    <x v="5"/>
    <x v="10"/>
    <x v="1"/>
    <x v="5"/>
    <s v="Sedan"/>
    <x v="1"/>
    <n v="86272"/>
    <n v="254354"/>
    <n v="57"/>
    <n v="0.97"/>
    <n v="6.29"/>
    <n v="1.2"/>
    <n v="3"/>
    <x v="596"/>
    <x v="0"/>
    <n v="87307.263999999996"/>
  </r>
  <r>
    <x v="0"/>
    <x v="9"/>
    <x v="9"/>
    <x v="0"/>
    <s v="SUV"/>
    <x v="0"/>
    <n v="70853"/>
    <n v="127511"/>
    <n v="95"/>
    <n v="0.97"/>
    <n v="6.29"/>
    <n v="1.2"/>
    <n v="4"/>
    <x v="41"/>
    <x v="0"/>
    <n v="71703.236000000004"/>
  </r>
  <r>
    <x v="5"/>
    <x v="8"/>
    <x v="2"/>
    <x v="1"/>
    <s v="Electric"/>
    <x v="2"/>
    <n v="67924"/>
    <n v="494958"/>
    <n v="158"/>
    <n v="0.97"/>
    <n v="6.29"/>
    <n v="1.2"/>
    <n v="5"/>
    <x v="57"/>
    <x v="0"/>
    <n v="68739.088000000003"/>
  </r>
  <r>
    <x v="6"/>
    <x v="5"/>
    <x v="4"/>
    <x v="7"/>
    <s v="Sedan"/>
    <x v="1"/>
    <n v="109462"/>
    <n v="352666"/>
    <n v="197"/>
    <n v="0.97"/>
    <n v="6.29"/>
    <n v="1.2"/>
    <n v="1"/>
    <x v="173"/>
    <x v="1"/>
    <n v="98515.8"/>
  </r>
  <r>
    <x v="6"/>
    <x v="5"/>
    <x v="7"/>
    <x v="4"/>
    <s v="SUV"/>
    <x v="2"/>
    <n v="58889"/>
    <n v="262204"/>
    <n v="381"/>
    <n v="0.97"/>
    <n v="6.29"/>
    <n v="1.2"/>
    <n v="1"/>
    <x v="597"/>
    <x v="2"/>
    <n v="58889"/>
  </r>
  <r>
    <x v="5"/>
    <x v="3"/>
    <x v="4"/>
    <x v="3"/>
    <s v="Sedan"/>
    <x v="0"/>
    <n v="89675"/>
    <n v="300694"/>
    <n v="315"/>
    <n v="0.97"/>
    <n v="6.29"/>
    <n v="1.2"/>
    <n v="3"/>
    <x v="598"/>
    <x v="0"/>
    <n v="90751.1"/>
  </r>
  <r>
    <x v="0"/>
    <x v="5"/>
    <x v="1"/>
    <x v="6"/>
    <s v="SUV"/>
    <x v="0"/>
    <n v="108591"/>
    <n v="299836"/>
    <n v="160"/>
    <n v="0.97"/>
    <n v="6.29"/>
    <n v="1.2"/>
    <n v="6"/>
    <x v="599"/>
    <x v="0"/>
    <n v="109894.092"/>
  </r>
  <r>
    <x v="5"/>
    <x v="0"/>
    <x v="8"/>
    <x v="6"/>
    <s v="SUV"/>
    <x v="0"/>
    <n v="105190"/>
    <n v="284561"/>
    <n v="150"/>
    <n v="0.97"/>
    <n v="6.29"/>
    <n v="1.2"/>
    <n v="1"/>
    <x v="529"/>
    <x v="2"/>
    <n v="105190"/>
  </r>
  <r>
    <x v="2"/>
    <x v="0"/>
    <x v="9"/>
    <x v="1"/>
    <s v="SUV"/>
    <x v="3"/>
    <n v="57634"/>
    <n v="411541"/>
    <n v="78"/>
    <n v="0.97"/>
    <n v="6.29"/>
    <n v="1.2"/>
    <n v="2"/>
    <x v="463"/>
    <x v="1"/>
    <n v="51870.6"/>
  </r>
  <r>
    <x v="4"/>
    <x v="9"/>
    <x v="7"/>
    <x v="7"/>
    <s v="Sedan"/>
    <x v="2"/>
    <n v="67363"/>
    <n v="53880"/>
    <n v="269"/>
    <n v="0.97"/>
    <n v="6.29"/>
    <n v="1.2"/>
    <n v="7"/>
    <x v="600"/>
    <x v="0"/>
    <n v="68171.356"/>
  </r>
  <r>
    <x v="1"/>
    <x v="2"/>
    <x v="0"/>
    <x v="8"/>
    <s v="Electric"/>
    <x v="0"/>
    <n v="98752"/>
    <n v="486670"/>
    <n v="343"/>
    <n v="0.97"/>
    <n v="6.29"/>
    <n v="1.2"/>
    <n v="1"/>
    <x v="601"/>
    <x v="1"/>
    <n v="88876.800000000003"/>
  </r>
  <r>
    <x v="8"/>
    <x v="6"/>
    <x v="8"/>
    <x v="6"/>
    <s v="Sedan"/>
    <x v="2"/>
    <n v="112004"/>
    <n v="498927"/>
    <n v="18"/>
    <n v="0.97"/>
    <n v="6.29"/>
    <n v="1.2"/>
    <n v="7"/>
    <x v="269"/>
    <x v="0"/>
    <n v="113348.048"/>
  </r>
  <r>
    <x v="1"/>
    <x v="4"/>
    <x v="3"/>
    <x v="8"/>
    <s v="SUV"/>
    <x v="3"/>
    <n v="91398"/>
    <n v="93539"/>
    <n v="130"/>
    <n v="0.97"/>
    <n v="6.29"/>
    <n v="1.2"/>
    <n v="4"/>
    <x v="83"/>
    <x v="0"/>
    <n v="92494.775999999998"/>
  </r>
  <r>
    <x v="0"/>
    <x v="5"/>
    <x v="5"/>
    <x v="4"/>
    <s v="Sedan"/>
    <x v="3"/>
    <n v="75718"/>
    <n v="290056"/>
    <n v="380"/>
    <n v="0.97"/>
    <n v="6.29"/>
    <n v="1.2"/>
    <n v="10"/>
    <x v="499"/>
    <x v="0"/>
    <n v="76626.615999999995"/>
  </r>
  <r>
    <x v="1"/>
    <x v="11"/>
    <x v="0"/>
    <x v="1"/>
    <s v="Electric"/>
    <x v="0"/>
    <n v="117916"/>
    <n v="269057"/>
    <n v="110"/>
    <n v="0.97"/>
    <n v="6.29"/>
    <n v="1.2"/>
    <n v="6"/>
    <x v="202"/>
    <x v="0"/>
    <n v="119330.992"/>
  </r>
  <r>
    <x v="6"/>
    <x v="1"/>
    <x v="4"/>
    <x v="7"/>
    <s v="Sedan"/>
    <x v="0"/>
    <n v="61870"/>
    <n v="64799"/>
    <n v="158"/>
    <n v="0.97"/>
    <n v="6.29"/>
    <n v="1.2"/>
    <n v="8"/>
    <x v="602"/>
    <x v="0"/>
    <n v="62612.44"/>
  </r>
  <r>
    <x v="9"/>
    <x v="3"/>
    <x v="4"/>
    <x v="7"/>
    <s v="Electric"/>
    <x v="1"/>
    <n v="72394"/>
    <n v="154843"/>
    <n v="155"/>
    <n v="0.97"/>
    <n v="6.29"/>
    <n v="1.2"/>
    <n v="9"/>
    <x v="293"/>
    <x v="0"/>
    <n v="73262.728000000003"/>
  </r>
  <r>
    <x v="8"/>
    <x v="3"/>
    <x v="3"/>
    <x v="9"/>
    <s v="Electric"/>
    <x v="2"/>
    <n v="87057"/>
    <n v="493942"/>
    <n v="362"/>
    <n v="0.97"/>
    <n v="6.29"/>
    <n v="1.2"/>
    <n v="6"/>
    <x v="603"/>
    <x v="0"/>
    <n v="88101.683999999994"/>
  </r>
  <r>
    <x v="3"/>
    <x v="11"/>
    <x v="1"/>
    <x v="3"/>
    <s v="Sedan"/>
    <x v="0"/>
    <n v="114795"/>
    <n v="98784"/>
    <n v="252"/>
    <n v="0.97"/>
    <n v="6.29"/>
    <n v="1.2"/>
    <n v="9"/>
    <x v="335"/>
    <x v="0"/>
    <n v="116172.54000000001"/>
  </r>
  <r>
    <x v="0"/>
    <x v="7"/>
    <x v="2"/>
    <x v="0"/>
    <s v="SUV"/>
    <x v="1"/>
    <n v="115409"/>
    <n v="163034"/>
    <n v="250"/>
    <n v="0.97"/>
    <n v="6.29"/>
    <n v="1.2"/>
    <n v="4"/>
    <x v="604"/>
    <x v="0"/>
    <n v="116793.908"/>
  </r>
  <r>
    <x v="8"/>
    <x v="11"/>
    <x v="0"/>
    <x v="0"/>
    <s v="Electric"/>
    <x v="2"/>
    <n v="48016"/>
    <n v="486549"/>
    <n v="346"/>
    <n v="0.97"/>
    <n v="6.29"/>
    <n v="1.2"/>
    <n v="6"/>
    <x v="4"/>
    <x v="0"/>
    <n v="48592.192000000003"/>
  </r>
  <r>
    <x v="1"/>
    <x v="7"/>
    <x v="0"/>
    <x v="5"/>
    <s v="Sedan"/>
    <x v="0"/>
    <n v="77137"/>
    <n v="484044"/>
    <n v="52"/>
    <n v="0.97"/>
    <n v="6.29"/>
    <n v="1.2"/>
    <n v="8"/>
    <x v="605"/>
    <x v="0"/>
    <n v="78062.644"/>
  </r>
  <r>
    <x v="6"/>
    <x v="10"/>
    <x v="6"/>
    <x v="2"/>
    <s v="Electric"/>
    <x v="1"/>
    <n v="35153"/>
    <n v="250598"/>
    <n v="104"/>
    <n v="0.97"/>
    <n v="6.29"/>
    <n v="1.2"/>
    <n v="9"/>
    <x v="92"/>
    <x v="0"/>
    <n v="35574.836000000003"/>
  </r>
  <r>
    <x v="7"/>
    <x v="1"/>
    <x v="8"/>
    <x v="1"/>
    <s v="SUV"/>
    <x v="1"/>
    <n v="42853"/>
    <n v="104362"/>
    <n v="235"/>
    <n v="0.97"/>
    <n v="6.29"/>
    <n v="1.2"/>
    <n v="3"/>
    <x v="408"/>
    <x v="0"/>
    <n v="43367.235999999997"/>
  </r>
  <r>
    <x v="4"/>
    <x v="3"/>
    <x v="9"/>
    <x v="4"/>
    <s v="Sedan"/>
    <x v="2"/>
    <n v="47379"/>
    <n v="103997"/>
    <n v="15"/>
    <n v="0.97"/>
    <n v="6.29"/>
    <n v="1.2"/>
    <n v="2"/>
    <x v="606"/>
    <x v="2"/>
    <n v="47379"/>
  </r>
  <r>
    <x v="3"/>
    <x v="11"/>
    <x v="8"/>
    <x v="7"/>
    <s v="Sedan"/>
    <x v="1"/>
    <n v="50792"/>
    <n v="231413"/>
    <n v="223"/>
    <n v="0.97"/>
    <n v="6.29"/>
    <n v="1.2"/>
    <n v="6"/>
    <x v="530"/>
    <x v="0"/>
    <n v="51401.504000000001"/>
  </r>
  <r>
    <x v="4"/>
    <x v="10"/>
    <x v="2"/>
    <x v="3"/>
    <s v="Sedan"/>
    <x v="2"/>
    <n v="73367"/>
    <n v="462289"/>
    <n v="215"/>
    <n v="0.97"/>
    <n v="6.29"/>
    <n v="1.2"/>
    <n v="4"/>
    <x v="138"/>
    <x v="0"/>
    <n v="74247.403999999995"/>
  </r>
  <r>
    <x v="8"/>
    <x v="2"/>
    <x v="4"/>
    <x v="8"/>
    <s v="SUV"/>
    <x v="2"/>
    <n v="53100"/>
    <n v="414543"/>
    <n v="76"/>
    <n v="0.97"/>
    <n v="6.29"/>
    <n v="1.2"/>
    <n v="1"/>
    <x v="607"/>
    <x v="1"/>
    <n v="47790"/>
  </r>
  <r>
    <x v="6"/>
    <x v="8"/>
    <x v="4"/>
    <x v="1"/>
    <s v="Electric"/>
    <x v="2"/>
    <n v="98456"/>
    <n v="326693"/>
    <n v="109"/>
    <n v="0.97"/>
    <n v="6.29"/>
    <n v="1.2"/>
    <n v="8"/>
    <x v="608"/>
    <x v="0"/>
    <n v="99637.471999999994"/>
  </r>
  <r>
    <x v="6"/>
    <x v="4"/>
    <x v="4"/>
    <x v="5"/>
    <s v="Sedan"/>
    <x v="3"/>
    <n v="46049"/>
    <n v="369064"/>
    <n v="21"/>
    <n v="0.97"/>
    <n v="6.29"/>
    <n v="1.2"/>
    <n v="9"/>
    <x v="609"/>
    <x v="0"/>
    <n v="46601.588000000003"/>
  </r>
  <r>
    <x v="1"/>
    <x v="10"/>
    <x v="6"/>
    <x v="1"/>
    <s v="Electric"/>
    <x v="1"/>
    <n v="35786"/>
    <n v="266398"/>
    <n v="246"/>
    <n v="0.97"/>
    <n v="6.29"/>
    <n v="1.2"/>
    <n v="9"/>
    <x v="353"/>
    <x v="0"/>
    <n v="36215.432000000001"/>
  </r>
  <r>
    <x v="2"/>
    <x v="4"/>
    <x v="4"/>
    <x v="5"/>
    <s v="Electric"/>
    <x v="2"/>
    <n v="104904"/>
    <n v="310464"/>
    <n v="331"/>
    <n v="0.97"/>
    <n v="6.29"/>
    <n v="1.2"/>
    <n v="2"/>
    <x v="558"/>
    <x v="1"/>
    <n v="94413.6"/>
  </r>
  <r>
    <x v="1"/>
    <x v="11"/>
    <x v="2"/>
    <x v="7"/>
    <s v="SUV"/>
    <x v="0"/>
    <n v="65699"/>
    <n v="463532"/>
    <n v="267"/>
    <n v="0.97"/>
    <n v="6.29"/>
    <n v="1.2"/>
    <n v="9"/>
    <x v="610"/>
    <x v="0"/>
    <n v="66487.388000000006"/>
  </r>
  <r>
    <x v="2"/>
    <x v="6"/>
    <x v="3"/>
    <x v="2"/>
    <s v="Sedan"/>
    <x v="3"/>
    <n v="82691"/>
    <n v="207255"/>
    <n v="346"/>
    <n v="0.97"/>
    <n v="6.29"/>
    <n v="1.2"/>
    <n v="7"/>
    <x v="611"/>
    <x v="0"/>
    <n v="83683.292000000001"/>
  </r>
  <r>
    <x v="2"/>
    <x v="2"/>
    <x v="9"/>
    <x v="5"/>
    <s v="Electric"/>
    <x v="3"/>
    <n v="72040"/>
    <n v="406004"/>
    <n v="144"/>
    <n v="0.97"/>
    <n v="6.29"/>
    <n v="1.2"/>
    <n v="5"/>
    <x v="188"/>
    <x v="0"/>
    <n v="72904.479999999996"/>
  </r>
  <r>
    <x v="3"/>
    <x v="10"/>
    <x v="2"/>
    <x v="7"/>
    <s v="Sedan"/>
    <x v="1"/>
    <n v="92986"/>
    <n v="74624"/>
    <n v="231"/>
    <n v="0.97"/>
    <n v="6.29"/>
    <n v="1.2"/>
    <n v="7"/>
    <x v="612"/>
    <x v="0"/>
    <n v="94101.831999999995"/>
  </r>
  <r>
    <x v="1"/>
    <x v="1"/>
    <x v="9"/>
    <x v="7"/>
    <s v="Sedan"/>
    <x v="2"/>
    <n v="73762"/>
    <n v="243587"/>
    <n v="165"/>
    <n v="0.97"/>
    <n v="6.29"/>
    <n v="1.2"/>
    <n v="9"/>
    <x v="613"/>
    <x v="0"/>
    <n v="74647.144"/>
  </r>
  <r>
    <x v="7"/>
    <x v="11"/>
    <x v="2"/>
    <x v="2"/>
    <s v="SUV"/>
    <x v="1"/>
    <n v="58600"/>
    <n v="284784"/>
    <n v="151"/>
    <n v="0.97"/>
    <n v="6.29"/>
    <n v="1.2"/>
    <n v="8"/>
    <x v="182"/>
    <x v="0"/>
    <n v="59303.199999999997"/>
  </r>
  <r>
    <x v="5"/>
    <x v="5"/>
    <x v="4"/>
    <x v="0"/>
    <s v="Sedan"/>
    <x v="3"/>
    <n v="54810"/>
    <n v="96705"/>
    <n v="167"/>
    <n v="0.97"/>
    <n v="6.29"/>
    <n v="1.2"/>
    <n v="6"/>
    <x v="458"/>
    <x v="0"/>
    <n v="55467.72"/>
  </r>
  <r>
    <x v="5"/>
    <x v="0"/>
    <x v="3"/>
    <x v="1"/>
    <s v="Sedan"/>
    <x v="2"/>
    <n v="92204"/>
    <n v="139326"/>
    <n v="335"/>
    <n v="0.97"/>
    <n v="6.29"/>
    <n v="1.2"/>
    <n v="4"/>
    <x v="614"/>
    <x v="0"/>
    <n v="93310.448000000004"/>
  </r>
  <r>
    <x v="1"/>
    <x v="10"/>
    <x v="0"/>
    <x v="6"/>
    <s v="Electric"/>
    <x v="0"/>
    <n v="55085"/>
    <n v="469972"/>
    <n v="380"/>
    <n v="0.97"/>
    <n v="6.29"/>
    <n v="1.2"/>
    <n v="1"/>
    <x v="94"/>
    <x v="1"/>
    <n v="49576.5"/>
  </r>
  <r>
    <x v="1"/>
    <x v="1"/>
    <x v="8"/>
    <x v="6"/>
    <s v="SUV"/>
    <x v="2"/>
    <n v="81854"/>
    <n v="372534"/>
    <n v="353"/>
    <n v="0.97"/>
    <n v="6.29"/>
    <n v="1.2"/>
    <n v="6"/>
    <x v="162"/>
    <x v="0"/>
    <n v="82836.248000000007"/>
  </r>
  <r>
    <x v="4"/>
    <x v="8"/>
    <x v="5"/>
    <x v="8"/>
    <s v="Sedan"/>
    <x v="3"/>
    <n v="109797"/>
    <n v="118369"/>
    <n v="271"/>
    <n v="0.97"/>
    <n v="6.29"/>
    <n v="1.2"/>
    <n v="3"/>
    <x v="454"/>
    <x v="0"/>
    <n v="111114.564"/>
  </r>
  <r>
    <x v="3"/>
    <x v="5"/>
    <x v="3"/>
    <x v="8"/>
    <s v="Electric"/>
    <x v="0"/>
    <n v="119269"/>
    <n v="251893"/>
    <n v="292"/>
    <n v="0.97"/>
    <n v="6.29"/>
    <n v="1.2"/>
    <n v="6"/>
    <x v="348"/>
    <x v="0"/>
    <n v="120700.228"/>
  </r>
  <r>
    <x v="1"/>
    <x v="8"/>
    <x v="0"/>
    <x v="6"/>
    <s v="SUV"/>
    <x v="2"/>
    <n v="74779"/>
    <n v="321733"/>
    <n v="347"/>
    <n v="0.97"/>
    <n v="6.29"/>
    <n v="1.2"/>
    <n v="6"/>
    <x v="615"/>
    <x v="0"/>
    <n v="75676.347999999998"/>
  </r>
  <r>
    <x v="4"/>
    <x v="11"/>
    <x v="1"/>
    <x v="4"/>
    <s v="SUV"/>
    <x v="0"/>
    <n v="91207"/>
    <n v="163012"/>
    <n v="353"/>
    <n v="0.97"/>
    <n v="6.29"/>
    <n v="1.2"/>
    <n v="4"/>
    <x v="591"/>
    <x v="0"/>
    <n v="92301.483999999997"/>
  </r>
  <r>
    <x v="2"/>
    <x v="0"/>
    <x v="2"/>
    <x v="6"/>
    <s v="Electric"/>
    <x v="0"/>
    <n v="68980"/>
    <n v="457332"/>
    <n v="238"/>
    <n v="0.97"/>
    <n v="6.29"/>
    <n v="1.2"/>
    <n v="2"/>
    <x v="604"/>
    <x v="1"/>
    <n v="62082"/>
  </r>
  <r>
    <x v="6"/>
    <x v="10"/>
    <x v="1"/>
    <x v="8"/>
    <s v="Electric"/>
    <x v="3"/>
    <n v="91117"/>
    <n v="385325"/>
    <n v="385"/>
    <n v="0.97"/>
    <n v="6.29"/>
    <n v="1.2"/>
    <n v="9"/>
    <x v="579"/>
    <x v="0"/>
    <n v="92210.403999999995"/>
  </r>
  <r>
    <x v="6"/>
    <x v="10"/>
    <x v="0"/>
    <x v="3"/>
    <s v="Electric"/>
    <x v="0"/>
    <n v="49141"/>
    <n v="225858"/>
    <n v="289"/>
    <n v="0.97"/>
    <n v="6.29"/>
    <n v="1.2"/>
    <n v="2"/>
    <x v="616"/>
    <x v="2"/>
    <n v="49141"/>
  </r>
  <r>
    <x v="2"/>
    <x v="6"/>
    <x v="3"/>
    <x v="8"/>
    <s v="Electric"/>
    <x v="1"/>
    <n v="44344"/>
    <n v="275758"/>
    <n v="367"/>
    <n v="0.97"/>
    <n v="6.29"/>
    <n v="1.2"/>
    <n v="3"/>
    <x v="617"/>
    <x v="0"/>
    <n v="44876.127999999997"/>
  </r>
  <r>
    <x v="0"/>
    <x v="3"/>
    <x v="2"/>
    <x v="4"/>
    <s v="Electric"/>
    <x v="3"/>
    <n v="50896"/>
    <n v="173711"/>
    <n v="299"/>
    <n v="0.97"/>
    <n v="6.29"/>
    <n v="1.2"/>
    <n v="10"/>
    <x v="418"/>
    <x v="0"/>
    <n v="51506.752"/>
  </r>
  <r>
    <x v="4"/>
    <x v="6"/>
    <x v="5"/>
    <x v="1"/>
    <s v="Sedan"/>
    <x v="1"/>
    <n v="64813"/>
    <n v="126425"/>
    <n v="177"/>
    <n v="0.97"/>
    <n v="6.29"/>
    <n v="1.2"/>
    <n v="1"/>
    <x v="518"/>
    <x v="2"/>
    <n v="64813"/>
  </r>
  <r>
    <x v="4"/>
    <x v="11"/>
    <x v="4"/>
    <x v="6"/>
    <s v="Sedan"/>
    <x v="0"/>
    <n v="119431"/>
    <n v="473502"/>
    <n v="56"/>
    <n v="0.97"/>
    <n v="6.29"/>
    <n v="1.2"/>
    <n v="7"/>
    <x v="351"/>
    <x v="0"/>
    <n v="120864.17200000001"/>
  </r>
  <r>
    <x v="2"/>
    <x v="11"/>
    <x v="2"/>
    <x v="2"/>
    <s v="SUV"/>
    <x v="1"/>
    <n v="100679"/>
    <n v="65994"/>
    <n v="212"/>
    <n v="0.97"/>
    <n v="6.29"/>
    <n v="1.2"/>
    <n v="1"/>
    <x v="618"/>
    <x v="2"/>
    <n v="100679"/>
  </r>
  <r>
    <x v="7"/>
    <x v="0"/>
    <x v="2"/>
    <x v="3"/>
    <s v="Sedan"/>
    <x v="2"/>
    <n v="45681"/>
    <n v="161915"/>
    <n v="223"/>
    <n v="0.97"/>
    <n v="6.29"/>
    <n v="1.2"/>
    <n v="9"/>
    <x v="175"/>
    <x v="0"/>
    <n v="46229.171999999999"/>
  </r>
  <r>
    <x v="9"/>
    <x v="6"/>
    <x v="3"/>
    <x v="7"/>
    <s v="Sedan"/>
    <x v="0"/>
    <n v="107903"/>
    <n v="435105"/>
    <n v="255"/>
    <n v="0.97"/>
    <n v="6.29"/>
    <n v="1.2"/>
    <n v="1"/>
    <x v="619"/>
    <x v="1"/>
    <n v="97112.7"/>
  </r>
  <r>
    <x v="10"/>
    <x v="12"/>
    <x v="10"/>
    <x v="10"/>
    <m/>
    <x v="4"/>
    <m/>
    <m/>
    <m/>
    <m/>
    <m/>
    <m/>
    <m/>
    <x v="620"/>
    <x v="2"/>
    <n v="0"/>
  </r>
  <r>
    <x v="11"/>
    <x v="8"/>
    <x v="1"/>
    <x v="6"/>
    <s v="Mid"/>
    <x v="2"/>
    <n v="3049467"/>
    <n v="186293"/>
    <n v="56"/>
    <n v="1.3"/>
    <n v="3.28"/>
    <n v="5.64"/>
    <n v="5.3"/>
    <x v="621"/>
    <x v="1"/>
    <n v="2308446519"/>
  </r>
  <r>
    <x v="12"/>
    <x v="9"/>
    <x v="1"/>
    <x v="4"/>
    <s v="Premium"/>
    <x v="3"/>
    <n v="1687633"/>
    <n v="429843"/>
    <n v="99"/>
    <n v="1.87"/>
    <n v="7.89"/>
    <n v="8.7899999999999991"/>
    <n v="5.15"/>
    <x v="567"/>
    <x v="1"/>
    <n v="1226909191"/>
  </r>
  <r>
    <x v="12"/>
    <x v="9"/>
    <x v="4"/>
    <x v="8"/>
    <s v="Mid"/>
    <x v="2"/>
    <n v="4129289"/>
    <n v="412010"/>
    <n v="171"/>
    <n v="1.26"/>
    <n v="6.87"/>
    <n v="6.74"/>
    <n v="6.12"/>
    <x v="552"/>
    <x v="0"/>
    <n v="3084578883"/>
  </r>
  <r>
    <x v="11"/>
    <x v="8"/>
    <x v="9"/>
    <x v="9"/>
    <s v="Premium"/>
    <x v="3"/>
    <n v="4096806"/>
    <n v="196591"/>
    <n v="152"/>
    <n v="1.68"/>
    <n v="4.8"/>
    <n v="6.62"/>
    <n v="7.28"/>
    <x v="211"/>
    <x v="1"/>
    <n v="2204081628"/>
  </r>
  <r>
    <x v="12"/>
    <x v="9"/>
    <x v="4"/>
    <x v="8"/>
    <s v="Mid"/>
    <x v="1"/>
    <n v="3936594"/>
    <n v="282883"/>
    <n v="73"/>
    <n v="1.33"/>
    <n v="3.19"/>
    <n v="7.81"/>
    <n v="9.6300000000000008"/>
    <x v="622"/>
    <x v="1"/>
    <n v="555059754"/>
  </r>
  <r>
    <x v="12"/>
    <x v="0"/>
    <x v="4"/>
    <x v="1"/>
    <s v="Premium"/>
    <x v="1"/>
    <n v="4083812"/>
    <n v="109359"/>
    <n v="168"/>
    <n v="1.24"/>
    <n v="3.79"/>
    <n v="4.66"/>
    <n v="6.91"/>
    <x v="623"/>
    <x v="1"/>
    <n v="939276760"/>
  </r>
  <r>
    <x v="12"/>
    <x v="11"/>
    <x v="4"/>
    <x v="1"/>
    <s v="Premium"/>
    <x v="3"/>
    <n v="2593119"/>
    <n v="333138"/>
    <n v="56"/>
    <n v="1.1000000000000001"/>
    <n v="7.88"/>
    <n v="6.81"/>
    <n v="9.7899999999999991"/>
    <x v="502"/>
    <x v="1"/>
    <n v="640500393"/>
  </r>
  <r>
    <x v="12"/>
    <x v="11"/>
    <x v="5"/>
    <x v="6"/>
    <s v="Mid"/>
    <x v="1"/>
    <n v="2108554"/>
    <n v="398367"/>
    <n v="43"/>
    <n v="1.48"/>
    <n v="6.44"/>
    <n v="9.2799999999999994"/>
    <n v="9.26"/>
    <x v="227"/>
    <x v="1"/>
    <n v="885592680"/>
  </r>
  <r>
    <x v="11"/>
    <x v="4"/>
    <x v="7"/>
    <x v="3"/>
    <s v="Premium"/>
    <x v="3"/>
    <n v="3837966"/>
    <n v="136950"/>
    <n v="63"/>
    <n v="1.01"/>
    <n v="7.21"/>
    <n v="7.88"/>
    <n v="8.57"/>
    <x v="624"/>
    <x v="0"/>
    <n v="349254906"/>
  </r>
  <r>
    <x v="12"/>
    <x v="9"/>
    <x v="4"/>
    <x v="1"/>
    <s v="Premium"/>
    <x v="3"/>
    <n v="3275192"/>
    <n v="343998"/>
    <n v="44"/>
    <n v="1.68"/>
    <n v="4.3499999999999996"/>
    <n v="8.41"/>
    <n v="9.66"/>
    <x v="625"/>
    <x v="0"/>
    <n v="1617944848"/>
  </r>
  <r>
    <x v="11"/>
    <x v="4"/>
    <x v="5"/>
    <x v="4"/>
    <s v="Premium"/>
    <x v="0"/>
    <n v="1870328"/>
    <n v="107997"/>
    <n v="34"/>
    <n v="1.45"/>
    <n v="7.89"/>
    <n v="4.7"/>
    <n v="7.9"/>
    <x v="623"/>
    <x v="1"/>
    <n v="430175440"/>
  </r>
  <r>
    <x v="12"/>
    <x v="0"/>
    <x v="1"/>
    <x v="6"/>
    <s v="Mid"/>
    <x v="0"/>
    <n v="3885213"/>
    <n v="248412"/>
    <n v="141"/>
    <n v="1.5"/>
    <n v="7.78"/>
    <n v="7.86"/>
    <n v="4.8099999999999996"/>
    <x v="626"/>
    <x v="1"/>
    <n v="773157387"/>
  </r>
  <r>
    <x v="12"/>
    <x v="11"/>
    <x v="4"/>
    <x v="0"/>
    <s v="Economy"/>
    <x v="0"/>
    <n v="4208341"/>
    <n v="204489"/>
    <n v="38"/>
    <n v="1.88"/>
    <n v="3.51"/>
    <n v="4.55"/>
    <n v="4.1900000000000004"/>
    <x v="627"/>
    <x v="1"/>
    <n v="1418210917"/>
  </r>
  <r>
    <x v="12"/>
    <x v="9"/>
    <x v="7"/>
    <x v="4"/>
    <s v="Premium"/>
    <x v="2"/>
    <n v="3740952"/>
    <n v="222627"/>
    <n v="55"/>
    <n v="1.89"/>
    <n v="7.03"/>
    <n v="8.2200000000000006"/>
    <n v="1.9"/>
    <x v="66"/>
    <x v="0"/>
    <n v="437691384"/>
  </r>
  <r>
    <x v="11"/>
    <x v="3"/>
    <x v="9"/>
    <x v="0"/>
    <s v="Economy"/>
    <x v="2"/>
    <n v="4236523"/>
    <n v="459912"/>
    <n v="22"/>
    <n v="1.51"/>
    <n v="3.83"/>
    <n v="8.67"/>
    <n v="8.7799999999999994"/>
    <x v="235"/>
    <x v="1"/>
    <n v="1995402333"/>
  </r>
  <r>
    <x v="12"/>
    <x v="11"/>
    <x v="7"/>
    <x v="5"/>
    <s v="Premium"/>
    <x v="0"/>
    <n v="1500713"/>
    <n v="175523"/>
    <n v="51"/>
    <n v="1.02"/>
    <n v="4.1500000000000004"/>
    <n v="8.59"/>
    <n v="9.5"/>
    <x v="127"/>
    <x v="1"/>
    <n v="1170556140"/>
  </r>
  <r>
    <x v="11"/>
    <x v="9"/>
    <x v="4"/>
    <x v="7"/>
    <s v="Premium"/>
    <x v="2"/>
    <n v="4140520"/>
    <n v="409538"/>
    <n v="146"/>
    <n v="1.35"/>
    <n v="7.64"/>
    <n v="8.23"/>
    <n v="1.29"/>
    <x v="628"/>
    <x v="0"/>
    <n v="356084720"/>
  </r>
  <r>
    <x v="12"/>
    <x v="0"/>
    <x v="5"/>
    <x v="4"/>
    <s v="Premium"/>
    <x v="2"/>
    <n v="1697200"/>
    <n v="157852"/>
    <n v="55"/>
    <n v="1.86"/>
    <n v="6.75"/>
    <n v="9.7899999999999991"/>
    <n v="5.99"/>
    <x v="437"/>
    <x v="0"/>
    <n v="996256400"/>
  </r>
  <r>
    <x v="12"/>
    <x v="9"/>
    <x v="5"/>
    <x v="9"/>
    <s v="Premium"/>
    <x v="3"/>
    <n v="4825085"/>
    <n v="460871"/>
    <n v="59"/>
    <n v="1.06"/>
    <n v="5.17"/>
    <n v="5.87"/>
    <n v="7.27"/>
    <x v="349"/>
    <x v="1"/>
    <n v="1794931620"/>
  </r>
  <r>
    <x v="12"/>
    <x v="11"/>
    <x v="1"/>
    <x v="5"/>
    <s v="Premium"/>
    <x v="1"/>
    <n v="4422293"/>
    <n v="458880"/>
    <n v="93"/>
    <n v="1.61"/>
    <n v="6.57"/>
    <n v="6.82"/>
    <n v="5.0999999999999996"/>
    <x v="629"/>
    <x v="0"/>
    <n v="1109995543"/>
  </r>
  <r>
    <x v="11"/>
    <x v="5"/>
    <x v="5"/>
    <x v="4"/>
    <s v="Premium"/>
    <x v="2"/>
    <n v="3231604"/>
    <n v="276264"/>
    <n v="111"/>
    <n v="1.32"/>
    <n v="5.6"/>
    <n v="4"/>
    <n v="3.81"/>
    <x v="630"/>
    <x v="1"/>
    <n v="778816564"/>
  </r>
  <r>
    <x v="12"/>
    <x v="9"/>
    <x v="9"/>
    <x v="2"/>
    <s v="Premium"/>
    <x v="0"/>
    <n v="1624440"/>
    <n v="408000"/>
    <n v="190"/>
    <n v="1.88"/>
    <n v="4.57"/>
    <n v="9.74"/>
    <n v="5.25"/>
    <x v="341"/>
    <x v="0"/>
    <n v="1242696600"/>
  </r>
  <r>
    <x v="12"/>
    <x v="0"/>
    <x v="5"/>
    <x v="9"/>
    <s v="Premium"/>
    <x v="0"/>
    <n v="3741184"/>
    <n v="139335"/>
    <n v="112"/>
    <n v="1.67"/>
    <n v="4.38"/>
    <n v="5.05"/>
    <n v="7.34"/>
    <x v="574"/>
    <x v="1"/>
    <n v="695860224"/>
  </r>
  <r>
    <x v="12"/>
    <x v="9"/>
    <x v="7"/>
    <x v="9"/>
    <s v="Premium"/>
    <x v="2"/>
    <n v="2159411"/>
    <n v="249303"/>
    <n v="38"/>
    <n v="1.75"/>
    <n v="3.46"/>
    <n v="5.3"/>
    <n v="7.74"/>
    <x v="454"/>
    <x v="1"/>
    <n v="1554775920"/>
  </r>
  <r>
    <x v="11"/>
    <x v="3"/>
    <x v="9"/>
    <x v="1"/>
    <s v="Premium"/>
    <x v="3"/>
    <n v="3352938"/>
    <n v="410137"/>
    <n v="90"/>
    <n v="1.93"/>
    <n v="6.35"/>
    <n v="8.7100000000000009"/>
    <n v="3.54"/>
    <x v="629"/>
    <x v="0"/>
    <n v="841587438"/>
  </r>
  <r>
    <x v="11"/>
    <x v="6"/>
    <x v="9"/>
    <x v="4"/>
    <s v="Premium"/>
    <x v="3"/>
    <n v="2384867"/>
    <n v="181858"/>
    <n v="80"/>
    <n v="1.46"/>
    <n v="7.39"/>
    <n v="6.95"/>
    <n v="7.44"/>
    <x v="631"/>
    <x v="0"/>
    <n v="617680553"/>
  </r>
  <r>
    <x v="12"/>
    <x v="9"/>
    <x v="1"/>
    <x v="0"/>
    <s v="Economy"/>
    <x v="2"/>
    <n v="1021337"/>
    <n v="328763"/>
    <n v="49"/>
    <n v="1.35"/>
    <n v="3.74"/>
    <n v="9.89"/>
    <n v="5.31"/>
    <x v="599"/>
    <x v="1"/>
    <n v="411598811"/>
  </r>
  <r>
    <x v="12"/>
    <x v="11"/>
    <x v="9"/>
    <x v="0"/>
    <s v="Economy"/>
    <x v="3"/>
    <n v="2242643"/>
    <n v="222741"/>
    <n v="23"/>
    <n v="1.1200000000000001"/>
    <n v="7.9"/>
    <n v="6.44"/>
    <n v="6.12"/>
    <x v="109"/>
    <x v="1"/>
    <n v="955365918"/>
  </r>
  <r>
    <x v="11"/>
    <x v="7"/>
    <x v="5"/>
    <x v="3"/>
    <s v="Premium"/>
    <x v="0"/>
    <n v="2654063"/>
    <n v="136209"/>
    <n v="94"/>
    <n v="1.01"/>
    <n v="6.85"/>
    <n v="4.88"/>
    <n v="1.72"/>
    <x v="346"/>
    <x v="1"/>
    <n v="1244755547"/>
  </r>
  <r>
    <x v="11"/>
    <x v="1"/>
    <x v="5"/>
    <x v="4"/>
    <s v="Premium"/>
    <x v="1"/>
    <n v="2979364"/>
    <n v="123417"/>
    <n v="188"/>
    <n v="1.1000000000000001"/>
    <n v="4.28"/>
    <n v="7.55"/>
    <n v="5.29"/>
    <x v="632"/>
    <x v="1"/>
    <n v="1206642420"/>
  </r>
  <r>
    <x v="12"/>
    <x v="11"/>
    <x v="4"/>
    <x v="9"/>
    <s v="Premium"/>
    <x v="1"/>
    <n v="3415933"/>
    <n v="483828"/>
    <n v="155"/>
    <n v="1.83"/>
    <n v="5.55"/>
    <n v="4.5199999999999996"/>
    <n v="6.94"/>
    <x v="633"/>
    <x v="1"/>
    <n v="2240852048"/>
  </r>
  <r>
    <x v="12"/>
    <x v="0"/>
    <x v="9"/>
    <x v="9"/>
    <s v="Premium"/>
    <x v="0"/>
    <n v="3518622"/>
    <n v="281931"/>
    <n v="66"/>
    <n v="1.78"/>
    <n v="7.63"/>
    <n v="8.2899999999999991"/>
    <n v="5.42"/>
    <x v="634"/>
    <x v="1"/>
    <n v="2002095918"/>
  </r>
  <r>
    <x v="12"/>
    <x v="0"/>
    <x v="4"/>
    <x v="1"/>
    <s v="Premium"/>
    <x v="2"/>
    <n v="1353242"/>
    <n v="270438"/>
    <n v="117"/>
    <n v="1.48"/>
    <n v="6.92"/>
    <n v="7.34"/>
    <n v="2.44"/>
    <x v="635"/>
    <x v="1"/>
    <n v="1039289856"/>
  </r>
  <r>
    <x v="12"/>
    <x v="11"/>
    <x v="1"/>
    <x v="1"/>
    <s v="Premium"/>
    <x v="2"/>
    <n v="1491906"/>
    <n v="443716"/>
    <n v="125"/>
    <n v="1.1299999999999999"/>
    <n v="5.89"/>
    <n v="4.55"/>
    <n v="9.19"/>
    <x v="636"/>
    <x v="0"/>
    <n v="677325324"/>
  </r>
  <r>
    <x v="12"/>
    <x v="11"/>
    <x v="9"/>
    <x v="8"/>
    <s v="Mid"/>
    <x v="2"/>
    <n v="3324698"/>
    <n v="427010"/>
    <n v="110"/>
    <n v="1.58"/>
    <n v="6.58"/>
    <n v="4.16"/>
    <n v="7.58"/>
    <x v="259"/>
    <x v="0"/>
    <n v="1409671952"/>
  </r>
  <r>
    <x v="11"/>
    <x v="3"/>
    <x v="1"/>
    <x v="8"/>
    <s v="Mid"/>
    <x v="1"/>
    <n v="2705246"/>
    <n v="342997"/>
    <n v="191"/>
    <n v="1.62"/>
    <n v="7.32"/>
    <n v="4.95"/>
    <n v="9.93"/>
    <x v="637"/>
    <x v="0"/>
    <n v="1536579728"/>
  </r>
  <r>
    <x v="12"/>
    <x v="9"/>
    <x v="9"/>
    <x v="3"/>
    <s v="Premium"/>
    <x v="1"/>
    <n v="1138141"/>
    <n v="173330"/>
    <n v="181"/>
    <n v="1.85"/>
    <n v="3.17"/>
    <n v="9.75"/>
    <n v="4.2"/>
    <x v="638"/>
    <x v="0"/>
    <n v="259496148"/>
  </r>
  <r>
    <x v="11"/>
    <x v="3"/>
    <x v="4"/>
    <x v="4"/>
    <s v="Premium"/>
    <x v="1"/>
    <n v="4531777"/>
    <n v="300655"/>
    <n v="23"/>
    <n v="1.1000000000000001"/>
    <n v="3.46"/>
    <n v="4.34"/>
    <n v="1.78"/>
    <x v="264"/>
    <x v="0"/>
    <n v="2256824946"/>
  </r>
  <r>
    <x v="11"/>
    <x v="4"/>
    <x v="9"/>
    <x v="0"/>
    <s v="Economy"/>
    <x v="1"/>
    <n v="4606018"/>
    <n v="322053"/>
    <n v="143"/>
    <n v="1.54"/>
    <n v="3.16"/>
    <n v="7.48"/>
    <n v="7.94"/>
    <x v="182"/>
    <x v="1"/>
    <n v="3012335772"/>
  </r>
  <r>
    <x v="12"/>
    <x v="11"/>
    <x v="4"/>
    <x v="1"/>
    <s v="Premium"/>
    <x v="3"/>
    <n v="2993800"/>
    <n v="486030"/>
    <n v="139"/>
    <n v="1.49"/>
    <n v="7.95"/>
    <n v="4.3899999999999997"/>
    <n v="8.0500000000000007"/>
    <x v="639"/>
    <x v="1"/>
    <n v="990947800"/>
  </r>
  <r>
    <x v="11"/>
    <x v="7"/>
    <x v="7"/>
    <x v="8"/>
    <s v="Mid"/>
    <x v="3"/>
    <n v="2623171"/>
    <n v="375801"/>
    <n v="151"/>
    <n v="1.71"/>
    <n v="5.07"/>
    <n v="6.16"/>
    <n v="8.4600000000000009"/>
    <x v="640"/>
    <x v="1"/>
    <n v="493156148"/>
  </r>
  <r>
    <x v="11"/>
    <x v="7"/>
    <x v="9"/>
    <x v="1"/>
    <s v="Premium"/>
    <x v="1"/>
    <n v="1680965"/>
    <n v="207697"/>
    <n v="172"/>
    <n v="1.38"/>
    <n v="6.49"/>
    <n v="9.3800000000000008"/>
    <n v="2.09"/>
    <x v="77"/>
    <x v="0"/>
    <n v="796777410"/>
  </r>
  <r>
    <x v="11"/>
    <x v="5"/>
    <x v="4"/>
    <x v="2"/>
    <s v="Premium"/>
    <x v="1"/>
    <n v="4655517"/>
    <n v="302327"/>
    <n v="144"/>
    <n v="1.63"/>
    <n v="3.66"/>
    <n v="6.25"/>
    <n v="3.92"/>
    <x v="641"/>
    <x v="0"/>
    <n v="2672266758"/>
  </r>
  <r>
    <x v="11"/>
    <x v="6"/>
    <x v="4"/>
    <x v="7"/>
    <s v="Premium"/>
    <x v="0"/>
    <n v="917508"/>
    <n v="434117"/>
    <n v="136"/>
    <n v="1.24"/>
    <n v="5.51"/>
    <n v="9.66"/>
    <n v="6.71"/>
    <x v="537"/>
    <x v="1"/>
    <n v="635833044"/>
  </r>
  <r>
    <x v="11"/>
    <x v="4"/>
    <x v="9"/>
    <x v="3"/>
    <s v="Premium"/>
    <x v="0"/>
    <n v="2330346"/>
    <n v="236234"/>
    <n v="48"/>
    <n v="1.07"/>
    <n v="4.46"/>
    <n v="4.91"/>
    <n v="4.76"/>
    <x v="642"/>
    <x v="0"/>
    <n v="864558366"/>
  </r>
  <r>
    <x v="11"/>
    <x v="6"/>
    <x v="9"/>
    <x v="5"/>
    <s v="Premium"/>
    <x v="3"/>
    <n v="4470628"/>
    <n v="142506"/>
    <n v="32"/>
    <n v="1.27"/>
    <n v="5.96"/>
    <n v="9.3800000000000008"/>
    <n v="4.66"/>
    <x v="643"/>
    <x v="1"/>
    <n v="625887920"/>
  </r>
  <r>
    <x v="12"/>
    <x v="9"/>
    <x v="9"/>
    <x v="4"/>
    <s v="Premium"/>
    <x v="0"/>
    <n v="2372050"/>
    <n v="130105"/>
    <n v="172"/>
    <n v="1.31"/>
    <n v="4.87"/>
    <n v="7.15"/>
    <n v="7.76"/>
    <x v="364"/>
    <x v="1"/>
    <n v="1859687200"/>
  </r>
  <r>
    <x v="12"/>
    <x v="9"/>
    <x v="5"/>
    <x v="6"/>
    <s v="Mid"/>
    <x v="3"/>
    <n v="3409859"/>
    <n v="489062"/>
    <n v="167"/>
    <n v="1.1000000000000001"/>
    <n v="4.74"/>
    <n v="8.44"/>
    <n v="7.12"/>
    <x v="192"/>
    <x v="0"/>
    <n v="2663099879"/>
  </r>
  <r>
    <x v="12"/>
    <x v="11"/>
    <x v="9"/>
    <x v="7"/>
    <s v="Premium"/>
    <x v="3"/>
    <n v="2326902"/>
    <n v="423329"/>
    <n v="30"/>
    <n v="1.86"/>
    <n v="6.18"/>
    <n v="5.8"/>
    <n v="5.14"/>
    <x v="526"/>
    <x v="0"/>
    <n v="1384506690"/>
  </r>
  <r>
    <x v="11"/>
    <x v="9"/>
    <x v="5"/>
    <x v="1"/>
    <s v="Premium"/>
    <x v="0"/>
    <n v="4048797"/>
    <n v="497701"/>
    <n v="136"/>
    <n v="1.91"/>
    <n v="3.04"/>
    <n v="9.81"/>
    <n v="7.22"/>
    <x v="297"/>
    <x v="0"/>
    <n v="2311863087"/>
  </r>
  <r>
    <x v="12"/>
    <x v="0"/>
    <x v="9"/>
    <x v="7"/>
    <s v="Premium"/>
    <x v="0"/>
    <n v="847449"/>
    <n v="175881"/>
    <n v="26"/>
    <n v="1.45"/>
    <n v="7.86"/>
    <n v="9"/>
    <n v="9.23"/>
    <x v="353"/>
    <x v="1"/>
    <n v="487283175"/>
  </r>
  <r>
    <x v="12"/>
    <x v="11"/>
    <x v="4"/>
    <x v="6"/>
    <s v="Mid"/>
    <x v="1"/>
    <n v="1490672"/>
    <n v="421932"/>
    <n v="113"/>
    <n v="1.44"/>
    <n v="5.6"/>
    <n v="8.16"/>
    <n v="1.82"/>
    <x v="644"/>
    <x v="1"/>
    <n v="384593376"/>
  </r>
  <r>
    <x v="12"/>
    <x v="0"/>
    <x v="7"/>
    <x v="9"/>
    <s v="Premium"/>
    <x v="3"/>
    <n v="1864284"/>
    <n v="322291"/>
    <n v="160"/>
    <n v="1.1299999999999999"/>
    <n v="7.9"/>
    <n v="9.23"/>
    <n v="5.52"/>
    <x v="410"/>
    <x v="0"/>
    <n v="950784840"/>
  </r>
  <r>
    <x v="11"/>
    <x v="4"/>
    <x v="9"/>
    <x v="1"/>
    <s v="Premium"/>
    <x v="3"/>
    <n v="842441"/>
    <n v="140703"/>
    <n v="76"/>
    <n v="1.1100000000000001"/>
    <n v="4.58"/>
    <n v="5.48"/>
    <n v="6.07"/>
    <x v="422"/>
    <x v="0"/>
    <n v="544216886"/>
  </r>
  <r>
    <x v="12"/>
    <x v="9"/>
    <x v="5"/>
    <x v="2"/>
    <s v="Premium"/>
    <x v="1"/>
    <n v="4275271"/>
    <n v="435879"/>
    <n v="42"/>
    <n v="1.36"/>
    <n v="7.55"/>
    <n v="9.27"/>
    <n v="4.91"/>
    <x v="36"/>
    <x v="1"/>
    <n v="1573299728"/>
  </r>
  <r>
    <x v="12"/>
    <x v="9"/>
    <x v="7"/>
    <x v="8"/>
    <s v="Mid"/>
    <x v="1"/>
    <n v="4102174"/>
    <n v="323057"/>
    <n v="183"/>
    <n v="1.72"/>
    <n v="5.62"/>
    <n v="5.92"/>
    <n v="1.03"/>
    <x v="643"/>
    <x v="1"/>
    <n v="574304360"/>
  </r>
  <r>
    <x v="12"/>
    <x v="0"/>
    <x v="1"/>
    <x v="6"/>
    <s v="Mid"/>
    <x v="3"/>
    <n v="4365948"/>
    <n v="318269"/>
    <n v="153"/>
    <n v="1.06"/>
    <n v="6.04"/>
    <n v="6.87"/>
    <n v="3.56"/>
    <x v="596"/>
    <x v="0"/>
    <n v="654892200"/>
  </r>
  <r>
    <x v="11"/>
    <x v="3"/>
    <x v="7"/>
    <x v="1"/>
    <s v="Premium"/>
    <x v="3"/>
    <n v="2018876"/>
    <n v="129353"/>
    <n v="60"/>
    <n v="1.35"/>
    <n v="6.29"/>
    <n v="7.91"/>
    <n v="8.4"/>
    <x v="581"/>
    <x v="1"/>
    <n v="1596930916"/>
  </r>
  <r>
    <x v="11"/>
    <x v="8"/>
    <x v="9"/>
    <x v="4"/>
    <s v="Premium"/>
    <x v="3"/>
    <n v="4567568"/>
    <n v="226152"/>
    <n v="148"/>
    <n v="1.89"/>
    <n v="6.82"/>
    <n v="8.19"/>
    <n v="4.0199999999999996"/>
    <x v="645"/>
    <x v="0"/>
    <n v="991162256"/>
  </r>
  <r>
    <x v="12"/>
    <x v="11"/>
    <x v="5"/>
    <x v="5"/>
    <s v="Premium"/>
    <x v="2"/>
    <n v="3087505"/>
    <n v="146870"/>
    <n v="129"/>
    <n v="1.1100000000000001"/>
    <n v="5.95"/>
    <n v="8.4700000000000006"/>
    <n v="8.6300000000000008"/>
    <x v="646"/>
    <x v="1"/>
    <n v="287137965"/>
  </r>
  <r>
    <x v="11"/>
    <x v="0"/>
    <x v="4"/>
    <x v="3"/>
    <s v="Premium"/>
    <x v="1"/>
    <n v="3361534"/>
    <n v="201670"/>
    <n v="186"/>
    <n v="1.86"/>
    <n v="3.49"/>
    <n v="6.99"/>
    <n v="6.23"/>
    <x v="86"/>
    <x v="1"/>
    <n v="1895905176"/>
  </r>
  <r>
    <x v="11"/>
    <x v="11"/>
    <x v="9"/>
    <x v="3"/>
    <s v="Premium"/>
    <x v="3"/>
    <n v="1216114"/>
    <n v="175358"/>
    <n v="150"/>
    <n v="1.51"/>
    <n v="7.84"/>
    <n v="4.5999999999999996"/>
    <n v="1.36"/>
    <x v="647"/>
    <x v="0"/>
    <n v="383075910"/>
  </r>
  <r>
    <x v="12"/>
    <x v="9"/>
    <x v="7"/>
    <x v="9"/>
    <s v="Premium"/>
    <x v="3"/>
    <n v="4613268"/>
    <n v="379697"/>
    <n v="121"/>
    <n v="1.86"/>
    <n v="5"/>
    <n v="6.29"/>
    <n v="1.2"/>
    <x v="648"/>
    <x v="1"/>
    <n v="3376912176"/>
  </r>
  <r>
    <x v="11"/>
    <x v="11"/>
    <x v="1"/>
    <x v="1"/>
    <s v="Premium"/>
    <x v="3"/>
    <n v="1406064"/>
    <n v="203521"/>
    <n v="115"/>
    <n v="1.54"/>
    <n v="3.55"/>
    <n v="6.43"/>
    <n v="4.6500000000000004"/>
    <x v="649"/>
    <x v="1"/>
    <n v="85769904"/>
  </r>
  <r>
    <x v="11"/>
    <x v="4"/>
    <x v="5"/>
    <x v="7"/>
    <s v="Premium"/>
    <x v="0"/>
    <n v="4405125"/>
    <n v="121863"/>
    <n v="138"/>
    <n v="1.68"/>
    <n v="7.46"/>
    <n v="4.01"/>
    <n v="9.43"/>
    <x v="650"/>
    <x v="1"/>
    <n v="1880988375"/>
  </r>
  <r>
    <x v="12"/>
    <x v="11"/>
    <x v="5"/>
    <x v="8"/>
    <s v="Mid"/>
    <x v="1"/>
    <n v="3737336"/>
    <n v="301913"/>
    <n v="113"/>
    <n v="1.22"/>
    <n v="3.4"/>
    <n v="4.51"/>
    <n v="2.99"/>
    <x v="651"/>
    <x v="1"/>
    <n v="624135112"/>
  </r>
  <r>
    <x v="12"/>
    <x v="9"/>
    <x v="5"/>
    <x v="5"/>
    <s v="Premium"/>
    <x v="2"/>
    <n v="1177355"/>
    <n v="146783"/>
    <n v="149"/>
    <n v="1.91"/>
    <n v="7.42"/>
    <n v="9.3800000000000008"/>
    <n v="3.99"/>
    <x v="652"/>
    <x v="0"/>
    <n v="129509050"/>
  </r>
  <r>
    <x v="12"/>
    <x v="0"/>
    <x v="5"/>
    <x v="9"/>
    <s v="Premium"/>
    <x v="1"/>
    <n v="4713651"/>
    <n v="159864"/>
    <n v="48"/>
    <n v="1.03"/>
    <n v="7.48"/>
    <n v="6.36"/>
    <n v="8.91"/>
    <x v="6"/>
    <x v="1"/>
    <n v="2304975339"/>
  </r>
  <r>
    <x v="12"/>
    <x v="9"/>
    <x v="4"/>
    <x v="7"/>
    <s v="Premium"/>
    <x v="3"/>
    <n v="4323216"/>
    <n v="287564"/>
    <n v="60"/>
    <n v="1.1299999999999999"/>
    <n v="4"/>
    <n v="7.08"/>
    <n v="1.88"/>
    <x v="13"/>
    <x v="1"/>
    <n v="1327227312"/>
  </r>
  <r>
    <x v="11"/>
    <x v="0"/>
    <x v="5"/>
    <x v="9"/>
    <s v="Premium"/>
    <x v="2"/>
    <n v="3617311"/>
    <n v="143827"/>
    <n v="160"/>
    <n v="1.18"/>
    <n v="6.06"/>
    <n v="4.49"/>
    <n v="8.94"/>
    <x v="653"/>
    <x v="1"/>
    <n v="466633119"/>
  </r>
  <r>
    <x v="11"/>
    <x v="0"/>
    <x v="7"/>
    <x v="2"/>
    <s v="Premium"/>
    <x v="3"/>
    <n v="2631931"/>
    <n v="447542"/>
    <n v="35"/>
    <n v="1.94"/>
    <n v="6.61"/>
    <n v="4.2"/>
    <n v="4.83"/>
    <x v="212"/>
    <x v="0"/>
    <n v="1358076396"/>
  </r>
  <r>
    <x v="12"/>
    <x v="9"/>
    <x v="5"/>
    <x v="3"/>
    <s v="Premium"/>
    <x v="3"/>
    <n v="1507675"/>
    <n v="141470"/>
    <n v="177"/>
    <n v="1.9"/>
    <n v="3.33"/>
    <n v="8.11"/>
    <n v="3.08"/>
    <x v="654"/>
    <x v="1"/>
    <n v="141721450"/>
  </r>
  <r>
    <x v="12"/>
    <x v="0"/>
    <x v="1"/>
    <x v="5"/>
    <s v="Premium"/>
    <x v="0"/>
    <n v="2906842"/>
    <n v="328006"/>
    <n v="84"/>
    <n v="1.21"/>
    <n v="5.68"/>
    <n v="6.63"/>
    <n v="9.77"/>
    <x v="527"/>
    <x v="0"/>
    <n v="709269448"/>
  </r>
  <r>
    <x v="12"/>
    <x v="9"/>
    <x v="9"/>
    <x v="9"/>
    <s v="Premium"/>
    <x v="2"/>
    <n v="2154912"/>
    <n v="279047"/>
    <n v="175"/>
    <n v="1.42"/>
    <n v="3.54"/>
    <n v="7.41"/>
    <n v="3.22"/>
    <x v="48"/>
    <x v="0"/>
    <n v="1025738112"/>
  </r>
  <r>
    <x v="12"/>
    <x v="11"/>
    <x v="9"/>
    <x v="0"/>
    <s v="Economy"/>
    <x v="2"/>
    <n v="4753867"/>
    <n v="139603"/>
    <n v="93"/>
    <n v="1.48"/>
    <n v="3.2"/>
    <n v="7.84"/>
    <n v="4.67"/>
    <x v="186"/>
    <x v="0"/>
    <n v="2376933500"/>
  </r>
  <r>
    <x v="12"/>
    <x v="0"/>
    <x v="5"/>
    <x v="2"/>
    <s v="Premium"/>
    <x v="2"/>
    <n v="1019402"/>
    <n v="132329"/>
    <n v="49"/>
    <n v="1.9"/>
    <n v="6.85"/>
    <n v="6.14"/>
    <n v="6.59"/>
    <x v="525"/>
    <x v="0"/>
    <n v="720717214"/>
  </r>
  <r>
    <x v="11"/>
    <x v="11"/>
    <x v="4"/>
    <x v="8"/>
    <s v="Mid"/>
    <x v="0"/>
    <n v="3730254"/>
    <n v="123325"/>
    <n v="176"/>
    <n v="1"/>
    <n v="5.13"/>
    <n v="4.38"/>
    <n v="2.87"/>
    <x v="616"/>
    <x v="0"/>
    <n v="2417204592"/>
  </r>
  <r>
    <x v="11"/>
    <x v="2"/>
    <x v="9"/>
    <x v="8"/>
    <s v="Mid"/>
    <x v="0"/>
    <n v="4733164"/>
    <n v="480628"/>
    <n v="95"/>
    <n v="1.73"/>
    <n v="6.32"/>
    <n v="9.1300000000000008"/>
    <n v="5.99"/>
    <x v="655"/>
    <x v="1"/>
    <n v="269790348"/>
  </r>
  <r>
    <x v="12"/>
    <x v="9"/>
    <x v="4"/>
    <x v="3"/>
    <s v="Premium"/>
    <x v="0"/>
    <n v="3036910"/>
    <n v="196873"/>
    <n v="56"/>
    <n v="1.82"/>
    <n v="6.34"/>
    <n v="7.28"/>
    <n v="6.3"/>
    <x v="552"/>
    <x v="0"/>
    <n v="2268571770"/>
  </r>
  <r>
    <x v="12"/>
    <x v="11"/>
    <x v="1"/>
    <x v="5"/>
    <s v="Premium"/>
    <x v="0"/>
    <n v="2793441"/>
    <n v="193894"/>
    <n v="144"/>
    <n v="1.74"/>
    <n v="3.03"/>
    <n v="8.16"/>
    <n v="9.2799999999999994"/>
    <x v="474"/>
    <x v="0"/>
    <n v="631317666"/>
  </r>
  <r>
    <x v="11"/>
    <x v="4"/>
    <x v="5"/>
    <x v="1"/>
    <s v="Premium"/>
    <x v="3"/>
    <n v="3959032"/>
    <n v="440123"/>
    <n v="151"/>
    <n v="1.63"/>
    <n v="6.47"/>
    <n v="4.6399999999999997"/>
    <n v="5.29"/>
    <x v="443"/>
    <x v="1"/>
    <n v="1532145384"/>
  </r>
  <r>
    <x v="11"/>
    <x v="3"/>
    <x v="4"/>
    <x v="2"/>
    <s v="Premium"/>
    <x v="1"/>
    <n v="2990237"/>
    <n v="499808"/>
    <n v="120"/>
    <n v="1.53"/>
    <n v="4.63"/>
    <n v="5.9"/>
    <n v="5.0199999999999996"/>
    <x v="319"/>
    <x v="0"/>
    <n v="1853946940"/>
  </r>
  <r>
    <x v="11"/>
    <x v="1"/>
    <x v="1"/>
    <x v="9"/>
    <s v="Premium"/>
    <x v="0"/>
    <n v="2090611"/>
    <n v="176033"/>
    <n v="184"/>
    <n v="1.24"/>
    <n v="6.42"/>
    <n v="8.02"/>
    <n v="9.67"/>
    <x v="656"/>
    <x v="1"/>
    <n v="397216090"/>
  </r>
  <r>
    <x v="12"/>
    <x v="11"/>
    <x v="1"/>
    <x v="3"/>
    <s v="Premium"/>
    <x v="2"/>
    <n v="2142663"/>
    <n v="428861"/>
    <n v="62"/>
    <n v="1.45"/>
    <n v="7.66"/>
    <n v="8.58"/>
    <n v="3.8"/>
    <x v="205"/>
    <x v="1"/>
    <n v="769216017"/>
  </r>
  <r>
    <x v="11"/>
    <x v="4"/>
    <x v="1"/>
    <x v="4"/>
    <s v="Premium"/>
    <x v="0"/>
    <n v="3021762"/>
    <n v="429766"/>
    <n v="62"/>
    <n v="1.74"/>
    <n v="7.68"/>
    <n v="7.96"/>
    <n v="7.52"/>
    <x v="657"/>
    <x v="0"/>
    <n v="546938922"/>
  </r>
  <r>
    <x v="12"/>
    <x v="9"/>
    <x v="7"/>
    <x v="8"/>
    <s v="Mid"/>
    <x v="2"/>
    <n v="872664"/>
    <n v="466567"/>
    <n v="76"/>
    <n v="1.31"/>
    <n v="7.94"/>
    <n v="7.44"/>
    <n v="9.5"/>
    <x v="658"/>
    <x v="1"/>
    <n v="567231600"/>
  </r>
  <r>
    <x v="11"/>
    <x v="7"/>
    <x v="9"/>
    <x v="3"/>
    <s v="Premium"/>
    <x v="1"/>
    <n v="3218660"/>
    <n v="159600"/>
    <n v="66"/>
    <n v="1.96"/>
    <n v="6.71"/>
    <n v="5.43"/>
    <n v="6.8"/>
    <x v="659"/>
    <x v="1"/>
    <n v="212431560"/>
  </r>
  <r>
    <x v="11"/>
    <x v="2"/>
    <x v="4"/>
    <x v="7"/>
    <s v="Premium"/>
    <x v="2"/>
    <n v="4211671"/>
    <n v="340478"/>
    <n v="153"/>
    <n v="1.33"/>
    <n v="7.07"/>
    <n v="4.84"/>
    <n v="3.05"/>
    <x v="487"/>
    <x v="0"/>
    <n v="1941580331"/>
  </r>
  <r>
    <x v="12"/>
    <x v="0"/>
    <x v="5"/>
    <x v="7"/>
    <s v="Premium"/>
    <x v="0"/>
    <n v="4903073"/>
    <n v="271993"/>
    <n v="89"/>
    <n v="1.73"/>
    <n v="7.08"/>
    <n v="5.31"/>
    <n v="9.76"/>
    <x v="259"/>
    <x v="1"/>
    <n v="2078902952"/>
  </r>
  <r>
    <x v="11"/>
    <x v="9"/>
    <x v="9"/>
    <x v="6"/>
    <s v="Mid"/>
    <x v="0"/>
    <n v="1936994"/>
    <n v="488330"/>
    <n v="141"/>
    <n v="1.89"/>
    <n v="4.0999999999999996"/>
    <n v="7.74"/>
    <n v="2"/>
    <x v="249"/>
    <x v="0"/>
    <n v="679884894"/>
  </r>
  <r>
    <x v="11"/>
    <x v="2"/>
    <x v="7"/>
    <x v="9"/>
    <s v="Premium"/>
    <x v="3"/>
    <n v="1205845"/>
    <n v="492189"/>
    <n v="128"/>
    <n v="1.28"/>
    <n v="7.51"/>
    <n v="6"/>
    <n v="9.73"/>
    <x v="553"/>
    <x v="0"/>
    <n v="397928850"/>
  </r>
  <r>
    <x v="11"/>
    <x v="8"/>
    <x v="7"/>
    <x v="9"/>
    <s v="Premium"/>
    <x v="2"/>
    <n v="2185249"/>
    <n v="344883"/>
    <n v="163"/>
    <n v="1.51"/>
    <n v="3.05"/>
    <n v="4.82"/>
    <n v="7.41"/>
    <x v="418"/>
    <x v="0"/>
    <n v="1459746332"/>
  </r>
  <r>
    <x v="12"/>
    <x v="0"/>
    <x v="7"/>
    <x v="9"/>
    <s v="Premium"/>
    <x v="2"/>
    <n v="4172851"/>
    <n v="470238"/>
    <n v="42"/>
    <n v="1.32"/>
    <n v="4.1500000000000004"/>
    <n v="7.04"/>
    <n v="7.63"/>
    <x v="660"/>
    <x v="0"/>
    <n v="1251855300"/>
  </r>
  <r>
    <x v="12"/>
    <x v="11"/>
    <x v="1"/>
    <x v="3"/>
    <s v="Premium"/>
    <x v="3"/>
    <n v="4717116"/>
    <n v="331622"/>
    <n v="48"/>
    <n v="1.48"/>
    <n v="6.54"/>
    <n v="4.26"/>
    <n v="8.92"/>
    <x v="661"/>
    <x v="0"/>
    <n v="3372737940"/>
  </r>
  <r>
    <x v="12"/>
    <x v="9"/>
    <x v="4"/>
    <x v="1"/>
    <s v="Premium"/>
    <x v="3"/>
    <n v="4025008"/>
    <n v="265736"/>
    <n v="155"/>
    <n v="1.02"/>
    <n v="5.0599999999999996"/>
    <n v="6.94"/>
    <n v="3.19"/>
    <x v="466"/>
    <x v="0"/>
    <n v="2745055456"/>
  </r>
  <r>
    <x v="12"/>
    <x v="11"/>
    <x v="7"/>
    <x v="9"/>
    <s v="Premium"/>
    <x v="0"/>
    <n v="4881818"/>
    <n v="298929"/>
    <n v="76"/>
    <n v="1.49"/>
    <n v="3.93"/>
    <n v="9.9700000000000006"/>
    <n v="2.16"/>
    <x v="67"/>
    <x v="1"/>
    <n v="2528781724"/>
  </r>
  <r>
    <x v="11"/>
    <x v="0"/>
    <x v="4"/>
    <x v="1"/>
    <s v="Premium"/>
    <x v="0"/>
    <n v="2910880"/>
    <n v="174140"/>
    <n v="191"/>
    <n v="1.25"/>
    <n v="4.33"/>
    <n v="4.76"/>
    <n v="5.73"/>
    <x v="607"/>
    <x v="1"/>
    <n v="931481600"/>
  </r>
  <r>
    <x v="12"/>
    <x v="11"/>
    <x v="7"/>
    <x v="6"/>
    <s v="Mid"/>
    <x v="2"/>
    <n v="4387192"/>
    <n v="207319"/>
    <n v="197"/>
    <n v="1.85"/>
    <n v="5.38"/>
    <n v="9.82"/>
    <n v="3.39"/>
    <x v="11"/>
    <x v="1"/>
    <n v="3123680704"/>
  </r>
  <r>
    <x v="12"/>
    <x v="9"/>
    <x v="5"/>
    <x v="7"/>
    <s v="Premium"/>
    <x v="0"/>
    <n v="1892729"/>
    <n v="427060"/>
    <n v="147"/>
    <n v="1.93"/>
    <n v="3.61"/>
    <n v="6.89"/>
    <n v="1.83"/>
    <x v="99"/>
    <x v="0"/>
    <n v="1245415682"/>
  </r>
  <r>
    <x v="11"/>
    <x v="2"/>
    <x v="1"/>
    <x v="8"/>
    <s v="Mid"/>
    <x v="0"/>
    <n v="1691693"/>
    <n v="278448"/>
    <n v="65"/>
    <n v="1.65"/>
    <n v="6.2"/>
    <n v="4.18"/>
    <n v="9.19"/>
    <x v="662"/>
    <x v="0"/>
    <n v="1302603610"/>
  </r>
  <r>
    <x v="12"/>
    <x v="9"/>
    <x v="5"/>
    <x v="4"/>
    <s v="Premium"/>
    <x v="1"/>
    <n v="1237489"/>
    <n v="104966"/>
    <n v="161"/>
    <n v="1.98"/>
    <n v="6.2"/>
    <n v="7.12"/>
    <n v="4.58"/>
    <x v="663"/>
    <x v="1"/>
    <n v="549445116"/>
  </r>
  <r>
    <x v="12"/>
    <x v="9"/>
    <x v="4"/>
    <x v="3"/>
    <s v="Premium"/>
    <x v="0"/>
    <n v="2816386"/>
    <n v="250879"/>
    <n v="130"/>
    <n v="1.52"/>
    <n v="4.7699999999999996"/>
    <n v="4.72"/>
    <n v="7.79"/>
    <x v="661"/>
    <x v="1"/>
    <n v="2013715990"/>
  </r>
  <r>
    <x v="11"/>
    <x v="8"/>
    <x v="4"/>
    <x v="1"/>
    <s v="Premium"/>
    <x v="2"/>
    <n v="3206559"/>
    <n v="193992"/>
    <n v="124"/>
    <n v="1.36"/>
    <n v="4.33"/>
    <n v="8.84"/>
    <n v="2.4700000000000002"/>
    <x v="664"/>
    <x v="0"/>
    <n v="1170394035"/>
  </r>
  <r>
    <x v="12"/>
    <x v="0"/>
    <x v="7"/>
    <x v="8"/>
    <s v="Mid"/>
    <x v="3"/>
    <n v="2594241"/>
    <n v="294070"/>
    <n v="112"/>
    <n v="1.21"/>
    <n v="4.88"/>
    <n v="7.85"/>
    <n v="7.44"/>
    <x v="68"/>
    <x v="1"/>
    <n v="1582487010"/>
  </r>
  <r>
    <x v="11"/>
    <x v="1"/>
    <x v="1"/>
    <x v="1"/>
    <s v="Premium"/>
    <x v="2"/>
    <n v="3086318"/>
    <n v="266153"/>
    <n v="135"/>
    <n v="1.2"/>
    <n v="3.37"/>
    <n v="6.18"/>
    <n v="8.41"/>
    <x v="653"/>
    <x v="0"/>
    <n v="398135022"/>
  </r>
  <r>
    <x v="11"/>
    <x v="4"/>
    <x v="9"/>
    <x v="9"/>
    <s v="Premium"/>
    <x v="3"/>
    <n v="3524564"/>
    <n v="462681"/>
    <n v="153"/>
    <n v="1.28"/>
    <n v="7.74"/>
    <n v="8.3699999999999992"/>
    <n v="3.97"/>
    <x v="5"/>
    <x v="0"/>
    <n v="2421375468"/>
  </r>
  <r>
    <x v="11"/>
    <x v="2"/>
    <x v="7"/>
    <x v="7"/>
    <s v="Premium"/>
    <x v="3"/>
    <n v="3011931"/>
    <n v="264937"/>
    <n v="108"/>
    <n v="1.51"/>
    <n v="4.75"/>
    <n v="8.24"/>
    <n v="1.22"/>
    <x v="665"/>
    <x v="0"/>
    <n v="1906552323"/>
  </r>
  <r>
    <x v="11"/>
    <x v="9"/>
    <x v="1"/>
    <x v="8"/>
    <s v="Mid"/>
    <x v="3"/>
    <n v="4234824"/>
    <n v="198966"/>
    <n v="167"/>
    <n v="1.63"/>
    <n v="6.76"/>
    <n v="4.9400000000000004"/>
    <n v="4.83"/>
    <x v="415"/>
    <x v="1"/>
    <n v="1317030264"/>
  </r>
  <r>
    <x v="11"/>
    <x v="7"/>
    <x v="1"/>
    <x v="2"/>
    <s v="Premium"/>
    <x v="1"/>
    <n v="4428899"/>
    <n v="378218"/>
    <n v="44"/>
    <n v="1.25"/>
    <n v="5.47"/>
    <n v="4.91"/>
    <n v="6.55"/>
    <x v="666"/>
    <x v="1"/>
    <n v="2993935724"/>
  </r>
  <r>
    <x v="11"/>
    <x v="1"/>
    <x v="4"/>
    <x v="2"/>
    <s v="Premium"/>
    <x v="2"/>
    <n v="2685541"/>
    <n v="300856"/>
    <n v="101"/>
    <n v="1.73"/>
    <n v="4.4000000000000004"/>
    <n v="8.7799999999999994"/>
    <n v="9.14"/>
    <x v="447"/>
    <x v="0"/>
    <n v="1710689617"/>
  </r>
  <r>
    <x v="12"/>
    <x v="9"/>
    <x v="4"/>
    <x v="8"/>
    <s v="Mid"/>
    <x v="3"/>
    <n v="4575935"/>
    <n v="105241"/>
    <n v="137"/>
    <n v="1.67"/>
    <n v="6.37"/>
    <n v="8.81"/>
    <n v="1"/>
    <x v="344"/>
    <x v="0"/>
    <n v="878579520"/>
  </r>
  <r>
    <x v="12"/>
    <x v="9"/>
    <x v="4"/>
    <x v="8"/>
    <s v="Mid"/>
    <x v="1"/>
    <n v="946524"/>
    <n v="269187"/>
    <n v="55"/>
    <n v="1.76"/>
    <n v="4.71"/>
    <n v="7.62"/>
    <n v="6.59"/>
    <x v="57"/>
    <x v="0"/>
    <n v="545197824"/>
  </r>
  <r>
    <x v="12"/>
    <x v="9"/>
    <x v="7"/>
    <x v="8"/>
    <s v="Mid"/>
    <x v="3"/>
    <n v="4115347"/>
    <n v="280818"/>
    <n v="109"/>
    <n v="1.81"/>
    <n v="3.26"/>
    <n v="7.76"/>
    <n v="5.52"/>
    <x v="419"/>
    <x v="0"/>
    <n v="1168758548"/>
  </r>
  <r>
    <x v="12"/>
    <x v="0"/>
    <x v="5"/>
    <x v="3"/>
    <s v="Premium"/>
    <x v="3"/>
    <n v="3279327"/>
    <n v="466114"/>
    <n v="59"/>
    <n v="1.26"/>
    <n v="5.23"/>
    <n v="4.57"/>
    <n v="8.89"/>
    <x v="350"/>
    <x v="0"/>
    <n v="2085651972"/>
  </r>
  <r>
    <x v="12"/>
    <x v="9"/>
    <x v="5"/>
    <x v="1"/>
    <s v="Premium"/>
    <x v="2"/>
    <n v="2781759"/>
    <n v="153841"/>
    <n v="164"/>
    <n v="1.4"/>
    <n v="3.43"/>
    <n v="4.38"/>
    <n v="3.5"/>
    <x v="667"/>
    <x v="0"/>
    <n v="862345290"/>
  </r>
  <r>
    <x v="11"/>
    <x v="6"/>
    <x v="4"/>
    <x v="0"/>
    <s v="Economy"/>
    <x v="2"/>
    <n v="4406068"/>
    <n v="307765"/>
    <n v="24"/>
    <n v="1.57"/>
    <n v="5.56"/>
    <n v="9.83"/>
    <n v="4.2699999999999996"/>
    <x v="668"/>
    <x v="1"/>
    <n v="3467575516"/>
  </r>
  <r>
    <x v="12"/>
    <x v="9"/>
    <x v="5"/>
    <x v="5"/>
    <s v="Premium"/>
    <x v="3"/>
    <n v="4025011"/>
    <n v="187865"/>
    <n v="109"/>
    <n v="1.91"/>
    <n v="6.68"/>
    <n v="5.6"/>
    <n v="2.31"/>
    <x v="16"/>
    <x v="1"/>
    <n v="2592107084"/>
  </r>
  <r>
    <x v="12"/>
    <x v="11"/>
    <x v="4"/>
    <x v="6"/>
    <s v="Mid"/>
    <x v="3"/>
    <n v="891934"/>
    <n v="264353"/>
    <n v="195"/>
    <n v="1.64"/>
    <n v="4.2300000000000004"/>
    <n v="5.89"/>
    <n v="9.1300000000000008"/>
    <x v="612"/>
    <x v="1"/>
    <n v="627921536"/>
  </r>
  <r>
    <x v="12"/>
    <x v="9"/>
    <x v="5"/>
    <x v="0"/>
    <s v="Economy"/>
    <x v="2"/>
    <n v="1638842"/>
    <n v="498262"/>
    <n v="145"/>
    <n v="1.44"/>
    <n v="5.76"/>
    <n v="5.37"/>
    <n v="3.04"/>
    <x v="669"/>
    <x v="0"/>
    <n v="101608204"/>
  </r>
  <r>
    <x v="11"/>
    <x v="5"/>
    <x v="4"/>
    <x v="1"/>
    <s v="Premium"/>
    <x v="2"/>
    <n v="1547692"/>
    <n v="337766"/>
    <n v="26"/>
    <n v="1.94"/>
    <n v="4.87"/>
    <n v="6.1"/>
    <n v="5.23"/>
    <x v="670"/>
    <x v="1"/>
    <n v="1193270532"/>
  </r>
  <r>
    <x v="11"/>
    <x v="7"/>
    <x v="7"/>
    <x v="3"/>
    <s v="Premium"/>
    <x v="3"/>
    <n v="4893069"/>
    <n v="189031"/>
    <n v="107"/>
    <n v="2"/>
    <n v="3.5"/>
    <n v="9.1999999999999993"/>
    <n v="3.65"/>
    <x v="671"/>
    <x v="0"/>
    <n v="1394524665"/>
  </r>
  <r>
    <x v="12"/>
    <x v="9"/>
    <x v="7"/>
    <x v="7"/>
    <s v="Premium"/>
    <x v="3"/>
    <n v="2276387"/>
    <n v="236551"/>
    <n v="62"/>
    <n v="1.65"/>
    <n v="6.44"/>
    <n v="4.26"/>
    <n v="5.94"/>
    <x v="205"/>
    <x v="0"/>
    <n v="817222933"/>
  </r>
  <r>
    <x v="12"/>
    <x v="0"/>
    <x v="5"/>
    <x v="0"/>
    <s v="Economy"/>
    <x v="3"/>
    <n v="1938582"/>
    <n v="484021"/>
    <n v="81"/>
    <n v="1.53"/>
    <n v="4.8099999999999996"/>
    <n v="4.46"/>
    <n v="9.86"/>
    <x v="256"/>
    <x v="1"/>
    <n v="837467424"/>
  </r>
  <r>
    <x v="11"/>
    <x v="5"/>
    <x v="9"/>
    <x v="8"/>
    <s v="Mid"/>
    <x v="2"/>
    <n v="1532713"/>
    <n v="424644"/>
    <n v="114"/>
    <n v="1.79"/>
    <n v="3.81"/>
    <n v="4.49"/>
    <n v="5.62"/>
    <x v="672"/>
    <x v="1"/>
    <n v="439888631"/>
  </r>
  <r>
    <x v="12"/>
    <x v="0"/>
    <x v="1"/>
    <x v="1"/>
    <s v="Premium"/>
    <x v="3"/>
    <n v="3059226"/>
    <n v="382891"/>
    <n v="101"/>
    <n v="1.26"/>
    <n v="5.66"/>
    <n v="8.2200000000000006"/>
    <n v="9.5399999999999991"/>
    <x v="551"/>
    <x v="0"/>
    <n v="954478512"/>
  </r>
  <r>
    <x v="11"/>
    <x v="0"/>
    <x v="5"/>
    <x v="1"/>
    <s v="Premium"/>
    <x v="2"/>
    <n v="2963135"/>
    <n v="144759"/>
    <n v="168"/>
    <n v="1.8"/>
    <n v="6.07"/>
    <n v="8.5299999999999994"/>
    <n v="4.41"/>
    <x v="673"/>
    <x v="0"/>
    <n v="1253406105"/>
  </r>
  <r>
    <x v="12"/>
    <x v="0"/>
    <x v="1"/>
    <x v="8"/>
    <s v="Mid"/>
    <x v="0"/>
    <n v="3835928"/>
    <n v="357498"/>
    <n v="156"/>
    <n v="1.81"/>
    <n v="3.53"/>
    <n v="9.7899999999999991"/>
    <n v="7.41"/>
    <x v="674"/>
    <x v="1"/>
    <n v="1503683776"/>
  </r>
  <r>
    <x v="11"/>
    <x v="1"/>
    <x v="9"/>
    <x v="9"/>
    <s v="Premium"/>
    <x v="1"/>
    <n v="3575367"/>
    <n v="350998"/>
    <n v="103"/>
    <n v="1.58"/>
    <n v="6.87"/>
    <n v="9.66"/>
    <n v="1.33"/>
    <x v="661"/>
    <x v="1"/>
    <n v="2556387405"/>
  </r>
  <r>
    <x v="12"/>
    <x v="11"/>
    <x v="9"/>
    <x v="2"/>
    <s v="Premium"/>
    <x v="3"/>
    <n v="2941913"/>
    <n v="115956"/>
    <n v="118"/>
    <n v="1.04"/>
    <n v="5.15"/>
    <n v="6.59"/>
    <n v="5.78"/>
    <x v="634"/>
    <x v="1"/>
    <n v="1673948497"/>
  </r>
  <r>
    <x v="11"/>
    <x v="7"/>
    <x v="9"/>
    <x v="0"/>
    <s v="Economy"/>
    <x v="0"/>
    <n v="4265057"/>
    <n v="184029"/>
    <n v="141"/>
    <n v="1.81"/>
    <n v="4.43"/>
    <n v="9.41"/>
    <n v="6.78"/>
    <x v="227"/>
    <x v="1"/>
    <n v="1791323940"/>
  </r>
  <r>
    <x v="11"/>
    <x v="5"/>
    <x v="5"/>
    <x v="9"/>
    <s v="Premium"/>
    <x v="3"/>
    <n v="3224091"/>
    <n v="476144"/>
    <n v="159"/>
    <n v="1.92"/>
    <n v="5.53"/>
    <n v="4.87"/>
    <n v="4.57"/>
    <x v="264"/>
    <x v="1"/>
    <n v="1605597318"/>
  </r>
  <r>
    <x v="11"/>
    <x v="11"/>
    <x v="9"/>
    <x v="5"/>
    <s v="Premium"/>
    <x v="0"/>
    <n v="3750174"/>
    <n v="183180"/>
    <n v="147"/>
    <n v="1.21"/>
    <n v="3.66"/>
    <n v="5.16"/>
    <n v="7.17"/>
    <x v="675"/>
    <x v="0"/>
    <n v="667530972"/>
  </r>
  <r>
    <x v="12"/>
    <x v="0"/>
    <x v="1"/>
    <x v="9"/>
    <s v="Premium"/>
    <x v="1"/>
    <n v="1379294"/>
    <n v="208239"/>
    <n v="149"/>
    <n v="1.4"/>
    <n v="3.33"/>
    <n v="8.27"/>
    <n v="6.13"/>
    <x v="257"/>
    <x v="1"/>
    <n v="764128876"/>
  </r>
  <r>
    <x v="11"/>
    <x v="9"/>
    <x v="9"/>
    <x v="5"/>
    <s v="Premium"/>
    <x v="1"/>
    <n v="1257202"/>
    <n v="376734"/>
    <n v="154"/>
    <n v="1.26"/>
    <n v="7.65"/>
    <n v="6.24"/>
    <n v="7.94"/>
    <x v="676"/>
    <x v="0"/>
    <n v="121948594"/>
  </r>
  <r>
    <x v="12"/>
    <x v="11"/>
    <x v="7"/>
    <x v="5"/>
    <s v="Premium"/>
    <x v="3"/>
    <n v="1767909"/>
    <n v="385329"/>
    <n v="159"/>
    <n v="1.07"/>
    <n v="5.77"/>
    <n v="7.46"/>
    <n v="3.84"/>
    <x v="307"/>
    <x v="1"/>
    <n v="1170355758"/>
  </r>
  <r>
    <x v="12"/>
    <x v="9"/>
    <x v="5"/>
    <x v="3"/>
    <s v="Premium"/>
    <x v="0"/>
    <n v="1330364"/>
    <n v="155499"/>
    <n v="139"/>
    <n v="1.98"/>
    <n v="7.51"/>
    <n v="6.75"/>
    <n v="8.36"/>
    <x v="572"/>
    <x v="0"/>
    <n v="745003840"/>
  </r>
  <r>
    <x v="11"/>
    <x v="5"/>
    <x v="7"/>
    <x v="6"/>
    <s v="Mid"/>
    <x v="2"/>
    <n v="2512765"/>
    <n v="390535"/>
    <n v="47"/>
    <n v="1.58"/>
    <n v="3.79"/>
    <n v="4.2300000000000004"/>
    <n v="4.53"/>
    <x v="677"/>
    <x v="0"/>
    <n v="919671990"/>
  </r>
  <r>
    <x v="11"/>
    <x v="6"/>
    <x v="5"/>
    <x v="6"/>
    <s v="Mid"/>
    <x v="2"/>
    <n v="807208"/>
    <n v="129987"/>
    <n v="83"/>
    <n v="1.96"/>
    <n v="6.34"/>
    <n v="9.7899999999999991"/>
    <n v="5.78"/>
    <x v="327"/>
    <x v="1"/>
    <n v="200187584"/>
  </r>
  <r>
    <x v="11"/>
    <x v="3"/>
    <x v="9"/>
    <x v="5"/>
    <s v="Premium"/>
    <x v="2"/>
    <n v="1711047"/>
    <n v="233168"/>
    <n v="139"/>
    <n v="1.19"/>
    <n v="3.56"/>
    <n v="4.25"/>
    <n v="3.05"/>
    <x v="629"/>
    <x v="1"/>
    <n v="429472797"/>
  </r>
  <r>
    <x v="12"/>
    <x v="0"/>
    <x v="1"/>
    <x v="0"/>
    <s v="Economy"/>
    <x v="1"/>
    <n v="3620360"/>
    <n v="154334"/>
    <n v="36"/>
    <n v="1.8"/>
    <n v="7.1"/>
    <n v="6.91"/>
    <n v="9.65"/>
    <x v="506"/>
    <x v="0"/>
    <n v="2476326240"/>
  </r>
  <r>
    <x v="11"/>
    <x v="1"/>
    <x v="1"/>
    <x v="9"/>
    <s v="Premium"/>
    <x v="2"/>
    <n v="2717678"/>
    <n v="170406"/>
    <n v="140"/>
    <n v="1.98"/>
    <n v="6.25"/>
    <n v="9.2899999999999991"/>
    <n v="6"/>
    <x v="678"/>
    <x v="0"/>
    <n v="222849596"/>
  </r>
  <r>
    <x v="12"/>
    <x v="9"/>
    <x v="9"/>
    <x v="9"/>
    <s v="Premium"/>
    <x v="1"/>
    <n v="994366"/>
    <n v="340000"/>
    <n v="21"/>
    <n v="1.43"/>
    <n v="7.62"/>
    <n v="4.63"/>
    <n v="9.84"/>
    <x v="430"/>
    <x v="0"/>
    <n v="489228072"/>
  </r>
  <r>
    <x v="12"/>
    <x v="11"/>
    <x v="5"/>
    <x v="2"/>
    <s v="Premium"/>
    <x v="2"/>
    <n v="3943941"/>
    <n v="175501"/>
    <n v="189"/>
    <n v="1.93"/>
    <n v="5.35"/>
    <n v="5.3"/>
    <n v="5.63"/>
    <x v="679"/>
    <x v="1"/>
    <n v="299739516"/>
  </r>
  <r>
    <x v="11"/>
    <x v="1"/>
    <x v="4"/>
    <x v="2"/>
    <s v="Premium"/>
    <x v="1"/>
    <n v="2259548"/>
    <n v="435643"/>
    <n v="26"/>
    <n v="1.8"/>
    <n v="7.99"/>
    <n v="9.08"/>
    <n v="4.7300000000000004"/>
    <x v="680"/>
    <x v="1"/>
    <n v="1254049140"/>
  </r>
  <r>
    <x v="12"/>
    <x v="0"/>
    <x v="9"/>
    <x v="8"/>
    <s v="Mid"/>
    <x v="2"/>
    <n v="1396408"/>
    <n v="414041"/>
    <n v="157"/>
    <n v="1.64"/>
    <n v="6.44"/>
    <n v="4.25"/>
    <n v="5.63"/>
    <x v="6"/>
    <x v="0"/>
    <n v="682843512"/>
  </r>
  <r>
    <x v="12"/>
    <x v="0"/>
    <x v="4"/>
    <x v="5"/>
    <s v="Premium"/>
    <x v="1"/>
    <n v="1075077"/>
    <n v="458175"/>
    <n v="109"/>
    <n v="1.52"/>
    <n v="4.83"/>
    <n v="6.23"/>
    <n v="3.46"/>
    <x v="681"/>
    <x v="0"/>
    <n v="117183393"/>
  </r>
  <r>
    <x v="11"/>
    <x v="10"/>
    <x v="5"/>
    <x v="3"/>
    <s v="Premium"/>
    <x v="1"/>
    <n v="1400443"/>
    <n v="185387"/>
    <n v="123"/>
    <n v="1.39"/>
    <n v="4.58"/>
    <n v="5.41"/>
    <n v="8.23"/>
    <x v="409"/>
    <x v="0"/>
    <n v="841666243"/>
  </r>
  <r>
    <x v="11"/>
    <x v="6"/>
    <x v="4"/>
    <x v="9"/>
    <s v="Premium"/>
    <x v="0"/>
    <n v="2860296"/>
    <n v="496638"/>
    <n v="143"/>
    <n v="1.37"/>
    <n v="3.98"/>
    <n v="4.59"/>
    <n v="7.74"/>
    <x v="682"/>
    <x v="0"/>
    <n v="557757720"/>
  </r>
  <r>
    <x v="12"/>
    <x v="9"/>
    <x v="9"/>
    <x v="1"/>
    <s v="Premium"/>
    <x v="1"/>
    <n v="2710717"/>
    <n v="123040"/>
    <n v="27"/>
    <n v="1.31"/>
    <n v="7.72"/>
    <n v="9.94"/>
    <n v="2.79"/>
    <x v="683"/>
    <x v="1"/>
    <n v="902668761"/>
  </r>
  <r>
    <x v="12"/>
    <x v="9"/>
    <x v="7"/>
    <x v="4"/>
    <s v="Premium"/>
    <x v="3"/>
    <n v="2666351"/>
    <n v="161531"/>
    <n v="33"/>
    <n v="1.45"/>
    <n v="4.99"/>
    <n v="6.31"/>
    <n v="1.61"/>
    <x v="356"/>
    <x v="0"/>
    <n v="575931816"/>
  </r>
  <r>
    <x v="11"/>
    <x v="8"/>
    <x v="5"/>
    <x v="4"/>
    <s v="Premium"/>
    <x v="1"/>
    <n v="4649117"/>
    <n v="371268"/>
    <n v="54"/>
    <n v="1.23"/>
    <n v="6.76"/>
    <n v="9.02"/>
    <n v="5.88"/>
    <x v="37"/>
    <x v="0"/>
    <n v="3454293931"/>
  </r>
  <r>
    <x v="11"/>
    <x v="11"/>
    <x v="7"/>
    <x v="3"/>
    <s v="Premium"/>
    <x v="3"/>
    <n v="3773279"/>
    <n v="162305"/>
    <n v="125"/>
    <n v="1.6"/>
    <n v="5.71"/>
    <n v="6.44"/>
    <n v="9.58"/>
    <x v="684"/>
    <x v="0"/>
    <n v="2599789231"/>
  </r>
  <r>
    <x v="11"/>
    <x v="9"/>
    <x v="7"/>
    <x v="9"/>
    <s v="Premium"/>
    <x v="2"/>
    <n v="2748786"/>
    <n v="208416"/>
    <n v="69"/>
    <n v="1.96"/>
    <n v="6.99"/>
    <n v="4.47"/>
    <n v="8.24"/>
    <x v="424"/>
    <x v="0"/>
    <n v="500279052"/>
  </r>
  <r>
    <x v="11"/>
    <x v="8"/>
    <x v="4"/>
    <x v="8"/>
    <s v="Mid"/>
    <x v="1"/>
    <n v="4034735"/>
    <n v="368382"/>
    <n v="51"/>
    <n v="1.47"/>
    <n v="7.8"/>
    <n v="5.44"/>
    <n v="7.87"/>
    <x v="548"/>
    <x v="1"/>
    <n v="2537848315"/>
  </r>
  <r>
    <x v="11"/>
    <x v="4"/>
    <x v="1"/>
    <x v="7"/>
    <s v="Premium"/>
    <x v="0"/>
    <n v="2867239"/>
    <n v="438164"/>
    <n v="142"/>
    <n v="1.7"/>
    <n v="3.46"/>
    <n v="5"/>
    <n v="8.66"/>
    <x v="685"/>
    <x v="1"/>
    <n v="1786289897"/>
  </r>
  <r>
    <x v="11"/>
    <x v="3"/>
    <x v="7"/>
    <x v="9"/>
    <s v="Premium"/>
    <x v="1"/>
    <n v="2269857"/>
    <n v="334626"/>
    <n v="174"/>
    <n v="1.04"/>
    <n v="5.16"/>
    <n v="8.0399999999999991"/>
    <n v="8.4600000000000009"/>
    <x v="31"/>
    <x v="1"/>
    <n v="1479946764"/>
  </r>
  <r>
    <x v="12"/>
    <x v="0"/>
    <x v="9"/>
    <x v="9"/>
    <s v="Premium"/>
    <x v="1"/>
    <n v="2279705"/>
    <n v="141725"/>
    <n v="93"/>
    <n v="1.52"/>
    <n v="7.91"/>
    <n v="4.8600000000000003"/>
    <n v="9.1"/>
    <x v="196"/>
    <x v="0"/>
    <n v="724946190"/>
  </r>
  <r>
    <x v="11"/>
    <x v="10"/>
    <x v="1"/>
    <x v="6"/>
    <s v="Mid"/>
    <x v="3"/>
    <n v="1636215"/>
    <n v="445365"/>
    <n v="66"/>
    <n v="1.9"/>
    <n v="6.85"/>
    <n v="9.1"/>
    <n v="1.3"/>
    <x v="686"/>
    <x v="1"/>
    <n v="921189045"/>
  </r>
  <r>
    <x v="11"/>
    <x v="2"/>
    <x v="9"/>
    <x v="3"/>
    <s v="Premium"/>
    <x v="0"/>
    <n v="4176713"/>
    <n v="161758"/>
    <n v="68"/>
    <n v="1.32"/>
    <n v="5.99"/>
    <n v="6.42"/>
    <n v="2.0499999999999998"/>
    <x v="687"/>
    <x v="1"/>
    <n v="1578797514"/>
  </r>
  <r>
    <x v="12"/>
    <x v="9"/>
    <x v="7"/>
    <x v="9"/>
    <s v="Premium"/>
    <x v="3"/>
    <n v="2943269"/>
    <n v="498339"/>
    <n v="95"/>
    <n v="1.55"/>
    <n v="7.78"/>
    <n v="4.0599999999999996"/>
    <n v="9.08"/>
    <x v="688"/>
    <x v="0"/>
    <n v="164823064"/>
  </r>
  <r>
    <x v="12"/>
    <x v="0"/>
    <x v="1"/>
    <x v="2"/>
    <s v="Premium"/>
    <x v="0"/>
    <n v="4043600"/>
    <n v="232041"/>
    <n v="119"/>
    <n v="1.4"/>
    <n v="5.27"/>
    <n v="5.95"/>
    <n v="4.84"/>
    <x v="663"/>
    <x v="1"/>
    <n v="1795358400"/>
  </r>
  <r>
    <x v="12"/>
    <x v="11"/>
    <x v="5"/>
    <x v="9"/>
    <s v="Premium"/>
    <x v="1"/>
    <n v="4899863"/>
    <n v="461820"/>
    <n v="63"/>
    <n v="1.83"/>
    <n v="4.1900000000000004"/>
    <n v="8.57"/>
    <n v="9.02"/>
    <x v="44"/>
    <x v="0"/>
    <n v="2023643419"/>
  </r>
  <r>
    <x v="11"/>
    <x v="9"/>
    <x v="5"/>
    <x v="4"/>
    <s v="Premium"/>
    <x v="2"/>
    <n v="4211691"/>
    <n v="491087"/>
    <n v="83"/>
    <n v="1.03"/>
    <n v="5.56"/>
    <n v="7.09"/>
    <n v="1.1299999999999999"/>
    <x v="310"/>
    <x v="1"/>
    <n v="1082404587"/>
  </r>
  <r>
    <x v="11"/>
    <x v="5"/>
    <x v="4"/>
    <x v="3"/>
    <s v="Premium"/>
    <x v="2"/>
    <n v="1238546"/>
    <n v="184282"/>
    <n v="161"/>
    <n v="1.2"/>
    <n v="3.15"/>
    <n v="5.36"/>
    <n v="6.6"/>
    <x v="17"/>
    <x v="0"/>
    <n v="661383564"/>
  </r>
  <r>
    <x v="12"/>
    <x v="11"/>
    <x v="4"/>
    <x v="5"/>
    <s v="Premium"/>
    <x v="0"/>
    <n v="1825905"/>
    <n v="318366"/>
    <n v="135"/>
    <n v="1.17"/>
    <n v="5.16"/>
    <n v="5.92"/>
    <n v="1.67"/>
    <x v="35"/>
    <x v="1"/>
    <n v="1287263025"/>
  </r>
  <r>
    <x v="11"/>
    <x v="3"/>
    <x v="5"/>
    <x v="4"/>
    <s v="Premium"/>
    <x v="2"/>
    <n v="4274267"/>
    <n v="124675"/>
    <n v="178"/>
    <n v="1.77"/>
    <n v="5.89"/>
    <n v="9.2799999999999994"/>
    <n v="1.88"/>
    <x v="689"/>
    <x v="0"/>
    <n v="2248264442"/>
  </r>
  <r>
    <x v="11"/>
    <x v="0"/>
    <x v="1"/>
    <x v="8"/>
    <s v="Mid"/>
    <x v="1"/>
    <n v="2644662"/>
    <n v="422508"/>
    <n v="33"/>
    <n v="1.75"/>
    <n v="5.81"/>
    <n v="9.02"/>
    <n v="3.5"/>
    <x v="427"/>
    <x v="1"/>
    <n v="1007616222"/>
  </r>
  <r>
    <x v="11"/>
    <x v="10"/>
    <x v="1"/>
    <x v="7"/>
    <s v="Premium"/>
    <x v="2"/>
    <n v="4839233"/>
    <n v="103244"/>
    <n v="29"/>
    <n v="1.59"/>
    <n v="4.09"/>
    <n v="8.1"/>
    <n v="9.85"/>
    <x v="213"/>
    <x v="0"/>
    <n v="1969567831"/>
  </r>
  <r>
    <x v="11"/>
    <x v="0"/>
    <x v="5"/>
    <x v="7"/>
    <s v="Premium"/>
    <x v="2"/>
    <n v="1004941"/>
    <n v="144893"/>
    <n v="110"/>
    <n v="1.99"/>
    <n v="7.09"/>
    <n v="6.04"/>
    <n v="2.37"/>
    <x v="609"/>
    <x v="0"/>
    <n v="96474336"/>
  </r>
  <r>
    <x v="12"/>
    <x v="11"/>
    <x v="1"/>
    <x v="1"/>
    <s v="Premium"/>
    <x v="2"/>
    <n v="1873406"/>
    <n v="388484"/>
    <n v="183"/>
    <n v="1.51"/>
    <n v="7.27"/>
    <n v="6.61"/>
    <n v="3.39"/>
    <x v="244"/>
    <x v="1"/>
    <n v="369060982"/>
  </r>
  <r>
    <x v="12"/>
    <x v="11"/>
    <x v="1"/>
    <x v="4"/>
    <s v="Premium"/>
    <x v="1"/>
    <n v="4887808"/>
    <n v="166884"/>
    <n v="121"/>
    <n v="1.81"/>
    <n v="3.05"/>
    <n v="4.93"/>
    <n v="4.3899999999999997"/>
    <x v="174"/>
    <x v="1"/>
    <n v="1666742528"/>
  </r>
  <r>
    <x v="12"/>
    <x v="11"/>
    <x v="5"/>
    <x v="2"/>
    <s v="Premium"/>
    <x v="2"/>
    <n v="1022154"/>
    <n v="489052"/>
    <n v="163"/>
    <n v="1.99"/>
    <n v="6.22"/>
    <n v="4.5599999999999996"/>
    <n v="7.96"/>
    <x v="690"/>
    <x v="0"/>
    <n v="617381016"/>
  </r>
  <r>
    <x v="12"/>
    <x v="0"/>
    <x v="5"/>
    <x v="2"/>
    <s v="Premium"/>
    <x v="2"/>
    <n v="2241791"/>
    <n v="335332"/>
    <n v="115"/>
    <n v="1.08"/>
    <n v="3.76"/>
    <n v="4.3099999999999996"/>
    <n v="3.04"/>
    <x v="562"/>
    <x v="1"/>
    <n v="1558044745"/>
  </r>
  <r>
    <x v="12"/>
    <x v="9"/>
    <x v="1"/>
    <x v="5"/>
    <s v="Premium"/>
    <x v="3"/>
    <n v="4919577"/>
    <n v="479311"/>
    <n v="36"/>
    <n v="1.19"/>
    <n v="5.07"/>
    <n v="7.14"/>
    <n v="1.4"/>
    <x v="183"/>
    <x v="1"/>
    <n v="1038030747"/>
  </r>
  <r>
    <x v="12"/>
    <x v="9"/>
    <x v="1"/>
    <x v="4"/>
    <s v="Premium"/>
    <x v="1"/>
    <n v="4108728"/>
    <n v="385188"/>
    <n v="89"/>
    <n v="1.67"/>
    <n v="3.16"/>
    <n v="6.39"/>
    <n v="3.87"/>
    <x v="246"/>
    <x v="1"/>
    <n v="2629585920"/>
  </r>
  <r>
    <x v="12"/>
    <x v="11"/>
    <x v="5"/>
    <x v="0"/>
    <s v="Economy"/>
    <x v="1"/>
    <n v="2764048"/>
    <n v="446219"/>
    <n v="104"/>
    <n v="1.56"/>
    <n v="6.59"/>
    <n v="8.81"/>
    <n v="1.24"/>
    <x v="691"/>
    <x v="0"/>
    <n v="2103440528"/>
  </r>
  <r>
    <x v="12"/>
    <x v="0"/>
    <x v="5"/>
    <x v="4"/>
    <s v="Premium"/>
    <x v="0"/>
    <n v="2733211"/>
    <n v="257794"/>
    <n v="79"/>
    <n v="1.97"/>
    <n v="4.53"/>
    <n v="5.36"/>
    <n v="1.61"/>
    <x v="692"/>
    <x v="0"/>
    <n v="393582384"/>
  </r>
  <r>
    <x v="12"/>
    <x v="0"/>
    <x v="9"/>
    <x v="9"/>
    <s v="Premium"/>
    <x v="2"/>
    <n v="4357031"/>
    <n v="180204"/>
    <n v="140"/>
    <n v="1.36"/>
    <n v="4.57"/>
    <n v="7.47"/>
    <n v="7.15"/>
    <x v="669"/>
    <x v="1"/>
    <n v="270135922"/>
  </r>
  <r>
    <x v="12"/>
    <x v="11"/>
    <x v="9"/>
    <x v="8"/>
    <s v="Mid"/>
    <x v="3"/>
    <n v="3305216"/>
    <n v="233330"/>
    <n v="100"/>
    <n v="1.0900000000000001"/>
    <n v="7.21"/>
    <n v="9.9"/>
    <n v="5.04"/>
    <x v="574"/>
    <x v="0"/>
    <n v="614770176"/>
  </r>
  <r>
    <x v="11"/>
    <x v="6"/>
    <x v="7"/>
    <x v="6"/>
    <s v="Mid"/>
    <x v="0"/>
    <n v="4051351"/>
    <n v="206487"/>
    <n v="145"/>
    <n v="1.64"/>
    <n v="3.3"/>
    <n v="7.69"/>
    <n v="9.5"/>
    <x v="55"/>
    <x v="0"/>
    <n v="1182994492"/>
  </r>
  <r>
    <x v="12"/>
    <x v="9"/>
    <x v="7"/>
    <x v="3"/>
    <s v="Premium"/>
    <x v="0"/>
    <n v="1123937"/>
    <n v="230524"/>
    <n v="61"/>
    <n v="1.93"/>
    <n v="5.4"/>
    <n v="7.55"/>
    <n v="8.4600000000000009"/>
    <x v="693"/>
    <x v="1"/>
    <n v="83171338"/>
  </r>
  <r>
    <x v="12"/>
    <x v="0"/>
    <x v="4"/>
    <x v="3"/>
    <s v="Premium"/>
    <x v="1"/>
    <n v="1453178"/>
    <n v="482506"/>
    <n v="112"/>
    <n v="1.1299999999999999"/>
    <n v="7.82"/>
    <n v="8.69"/>
    <n v="2.5"/>
    <x v="385"/>
    <x v="1"/>
    <n v="697525440"/>
  </r>
  <r>
    <x v="12"/>
    <x v="0"/>
    <x v="5"/>
    <x v="9"/>
    <s v="Premium"/>
    <x v="1"/>
    <n v="3041326"/>
    <n v="421598"/>
    <n v="98"/>
    <n v="1.78"/>
    <n v="6.76"/>
    <n v="6.35"/>
    <n v="2.78"/>
    <x v="694"/>
    <x v="1"/>
    <n v="1228695704"/>
  </r>
  <r>
    <x v="12"/>
    <x v="0"/>
    <x v="4"/>
    <x v="3"/>
    <s v="Premium"/>
    <x v="1"/>
    <n v="3470221"/>
    <n v="495997"/>
    <n v="98"/>
    <n v="1.83"/>
    <n v="3.35"/>
    <n v="9.1999999999999993"/>
    <n v="4.7699999999999996"/>
    <x v="695"/>
    <x v="1"/>
    <n v="1214577350"/>
  </r>
  <r>
    <x v="11"/>
    <x v="9"/>
    <x v="1"/>
    <x v="6"/>
    <s v="Mid"/>
    <x v="3"/>
    <n v="4383313"/>
    <n v="319866"/>
    <n v="96"/>
    <n v="1.67"/>
    <n v="3.89"/>
    <n v="9.0299999999999994"/>
    <n v="1.57"/>
    <x v="576"/>
    <x v="0"/>
    <n v="1108978189"/>
  </r>
  <r>
    <x v="12"/>
    <x v="11"/>
    <x v="5"/>
    <x v="3"/>
    <s v="Premium"/>
    <x v="3"/>
    <n v="4972987"/>
    <n v="238737"/>
    <n v="128"/>
    <n v="1.06"/>
    <n v="4.0999999999999996"/>
    <n v="9.06"/>
    <n v="2.4700000000000002"/>
    <x v="76"/>
    <x v="1"/>
    <n v="3008657135"/>
  </r>
  <r>
    <x v="12"/>
    <x v="11"/>
    <x v="4"/>
    <x v="0"/>
    <s v="Economy"/>
    <x v="1"/>
    <n v="3967433"/>
    <n v="383099"/>
    <n v="36"/>
    <n v="1.46"/>
    <n v="6.63"/>
    <n v="6.85"/>
    <n v="9.14"/>
    <x v="81"/>
    <x v="1"/>
    <n v="2324915738"/>
  </r>
  <r>
    <x v="12"/>
    <x v="9"/>
    <x v="5"/>
    <x v="1"/>
    <s v="Premium"/>
    <x v="0"/>
    <n v="3479499"/>
    <n v="320639"/>
    <n v="25"/>
    <n v="1.27"/>
    <n v="3.31"/>
    <n v="8.93"/>
    <n v="4.42"/>
    <x v="392"/>
    <x v="0"/>
    <n v="2223399861"/>
  </r>
  <r>
    <x v="12"/>
    <x v="11"/>
    <x v="9"/>
    <x v="5"/>
    <s v="Premium"/>
    <x v="1"/>
    <n v="4746605"/>
    <n v="135200"/>
    <n v="31"/>
    <n v="1.59"/>
    <n v="3.47"/>
    <n v="4.18"/>
    <n v="5.6"/>
    <x v="650"/>
    <x v="0"/>
    <n v="2026800335"/>
  </r>
  <r>
    <x v="11"/>
    <x v="10"/>
    <x v="7"/>
    <x v="4"/>
    <s v="Premium"/>
    <x v="3"/>
    <n v="4122364"/>
    <n v="474944"/>
    <n v="186"/>
    <n v="1.29"/>
    <n v="6.84"/>
    <n v="4.5"/>
    <n v="9.77"/>
    <x v="696"/>
    <x v="1"/>
    <n v="1331523572"/>
  </r>
  <r>
    <x v="11"/>
    <x v="3"/>
    <x v="4"/>
    <x v="6"/>
    <s v="Mid"/>
    <x v="2"/>
    <n v="4668674"/>
    <n v="431453"/>
    <n v="149"/>
    <n v="1.53"/>
    <n v="3.57"/>
    <n v="6.36"/>
    <n v="4.38"/>
    <x v="20"/>
    <x v="0"/>
    <n v="3506174174"/>
  </r>
  <r>
    <x v="12"/>
    <x v="0"/>
    <x v="5"/>
    <x v="0"/>
    <s v="Economy"/>
    <x v="2"/>
    <n v="3936159"/>
    <n v="338946"/>
    <n v="136"/>
    <n v="1.8"/>
    <n v="6.57"/>
    <n v="6.45"/>
    <n v="5.67"/>
    <x v="74"/>
    <x v="1"/>
    <n v="2719885869"/>
  </r>
  <r>
    <x v="11"/>
    <x v="8"/>
    <x v="1"/>
    <x v="1"/>
    <s v="Premium"/>
    <x v="2"/>
    <n v="1517975"/>
    <n v="411210"/>
    <n v="160"/>
    <n v="1.53"/>
    <n v="4.84"/>
    <n v="4.8600000000000003"/>
    <n v="8.82"/>
    <x v="697"/>
    <x v="1"/>
    <n v="148761550"/>
  </r>
  <r>
    <x v="11"/>
    <x v="3"/>
    <x v="5"/>
    <x v="1"/>
    <s v="Premium"/>
    <x v="1"/>
    <n v="3454919"/>
    <n v="426496"/>
    <n v="43"/>
    <n v="1.59"/>
    <n v="6.08"/>
    <n v="7.53"/>
    <n v="2.99"/>
    <x v="698"/>
    <x v="0"/>
    <n v="1941664478"/>
  </r>
  <r>
    <x v="11"/>
    <x v="7"/>
    <x v="9"/>
    <x v="1"/>
    <s v="Premium"/>
    <x v="1"/>
    <n v="3385470"/>
    <n v="224930"/>
    <n v="195"/>
    <n v="1.43"/>
    <n v="6.05"/>
    <n v="7.27"/>
    <n v="9.77"/>
    <x v="657"/>
    <x v="1"/>
    <n v="612770070"/>
  </r>
  <r>
    <x v="12"/>
    <x v="9"/>
    <x v="1"/>
    <x v="9"/>
    <s v="Premium"/>
    <x v="3"/>
    <n v="1483229"/>
    <n v="242325"/>
    <n v="44"/>
    <n v="1.04"/>
    <n v="3.92"/>
    <n v="5.42"/>
    <n v="2.65"/>
    <x v="653"/>
    <x v="1"/>
    <n v="191336541"/>
  </r>
  <r>
    <x v="12"/>
    <x v="0"/>
    <x v="5"/>
    <x v="1"/>
    <s v="Premium"/>
    <x v="3"/>
    <n v="4930481"/>
    <n v="259191"/>
    <n v="67"/>
    <n v="1.65"/>
    <n v="4.8499999999999996"/>
    <n v="4.46"/>
    <n v="3.52"/>
    <x v="542"/>
    <x v="1"/>
    <n v="3890149509"/>
  </r>
  <r>
    <x v="12"/>
    <x v="0"/>
    <x v="9"/>
    <x v="6"/>
    <s v="Mid"/>
    <x v="2"/>
    <n v="1884355"/>
    <n v="490067"/>
    <n v="102"/>
    <n v="1.51"/>
    <n v="7.13"/>
    <n v="9.89"/>
    <n v="4.71"/>
    <x v="395"/>
    <x v="1"/>
    <n v="284537605"/>
  </r>
  <r>
    <x v="11"/>
    <x v="2"/>
    <x v="7"/>
    <x v="9"/>
    <s v="Premium"/>
    <x v="2"/>
    <n v="4394545"/>
    <n v="121199"/>
    <n v="122"/>
    <n v="1.54"/>
    <n v="3.23"/>
    <n v="6.78"/>
    <n v="7.16"/>
    <x v="95"/>
    <x v="0"/>
    <n v="439454500"/>
  </r>
  <r>
    <x v="12"/>
    <x v="11"/>
    <x v="7"/>
    <x v="5"/>
    <s v="Premium"/>
    <x v="3"/>
    <n v="1521354"/>
    <n v="150601"/>
    <n v="33"/>
    <n v="1.41"/>
    <n v="7.83"/>
    <n v="9.82"/>
    <n v="2.34"/>
    <x v="686"/>
    <x v="1"/>
    <n v="856522302"/>
  </r>
  <r>
    <x v="11"/>
    <x v="4"/>
    <x v="4"/>
    <x v="8"/>
    <s v="Mid"/>
    <x v="0"/>
    <n v="1786502"/>
    <n v="287093"/>
    <n v="143"/>
    <n v="1.73"/>
    <n v="5.85"/>
    <n v="8.73"/>
    <n v="8.4700000000000006"/>
    <x v="698"/>
    <x v="1"/>
    <n v="1004014124"/>
  </r>
  <r>
    <x v="12"/>
    <x v="0"/>
    <x v="7"/>
    <x v="8"/>
    <s v="Mid"/>
    <x v="2"/>
    <n v="2881469"/>
    <n v="337919"/>
    <n v="188"/>
    <n v="1.1299999999999999"/>
    <n v="5.7"/>
    <n v="9.1999999999999993"/>
    <n v="6.67"/>
    <x v="459"/>
    <x v="0"/>
    <n v="1195809635"/>
  </r>
  <r>
    <x v="11"/>
    <x v="3"/>
    <x v="7"/>
    <x v="9"/>
    <s v="Premium"/>
    <x v="2"/>
    <n v="2181131"/>
    <n v="485070"/>
    <n v="125"/>
    <n v="1.95"/>
    <n v="4.55"/>
    <n v="6.4"/>
    <n v="1.27"/>
    <x v="608"/>
    <x v="1"/>
    <n v="1232339015"/>
  </r>
  <r>
    <x v="12"/>
    <x v="9"/>
    <x v="4"/>
    <x v="7"/>
    <s v="Premium"/>
    <x v="2"/>
    <n v="4382789"/>
    <n v="350270"/>
    <n v="131"/>
    <n v="1.82"/>
    <n v="4.03"/>
    <n v="7.93"/>
    <n v="5.8"/>
    <x v="689"/>
    <x v="1"/>
    <n v="2305347014"/>
  </r>
  <r>
    <x v="12"/>
    <x v="9"/>
    <x v="5"/>
    <x v="0"/>
    <s v="Economy"/>
    <x v="3"/>
    <n v="3424981"/>
    <n v="484877"/>
    <n v="55"/>
    <n v="1.56"/>
    <n v="5.49"/>
    <n v="9.75"/>
    <n v="2.99"/>
    <x v="11"/>
    <x v="1"/>
    <n v="2438586472"/>
  </r>
  <r>
    <x v="12"/>
    <x v="9"/>
    <x v="7"/>
    <x v="3"/>
    <s v="Premium"/>
    <x v="1"/>
    <n v="2913852"/>
    <n v="150245"/>
    <n v="67"/>
    <n v="1.26"/>
    <n v="4.33"/>
    <n v="8.75"/>
    <n v="6.61"/>
    <x v="699"/>
    <x v="1"/>
    <n v="1392821256"/>
  </r>
  <r>
    <x v="11"/>
    <x v="0"/>
    <x v="5"/>
    <x v="0"/>
    <s v="Economy"/>
    <x v="2"/>
    <n v="4740147"/>
    <n v="306142"/>
    <n v="156"/>
    <n v="1.95"/>
    <n v="7.55"/>
    <n v="7.51"/>
    <n v="3.73"/>
    <x v="328"/>
    <x v="1"/>
    <n v="696801609"/>
  </r>
  <r>
    <x v="12"/>
    <x v="9"/>
    <x v="5"/>
    <x v="8"/>
    <s v="Mid"/>
    <x v="2"/>
    <n v="1903197"/>
    <n v="149522"/>
    <n v="191"/>
    <n v="1.46"/>
    <n v="7.58"/>
    <n v="8.01"/>
    <n v="1.65"/>
    <x v="568"/>
    <x v="1"/>
    <n v="1141918200"/>
  </r>
  <r>
    <x v="11"/>
    <x v="3"/>
    <x v="4"/>
    <x v="6"/>
    <s v="Mid"/>
    <x v="2"/>
    <n v="1696129"/>
    <n v="355359"/>
    <n v="76"/>
    <n v="1.59"/>
    <n v="6.67"/>
    <n v="9.1300000000000008"/>
    <n v="5.88"/>
    <x v="700"/>
    <x v="1"/>
    <n v="698805148"/>
  </r>
  <r>
    <x v="12"/>
    <x v="0"/>
    <x v="5"/>
    <x v="2"/>
    <s v="Premium"/>
    <x v="3"/>
    <n v="1923085"/>
    <n v="206352"/>
    <n v="164"/>
    <n v="1.8"/>
    <n v="3.27"/>
    <n v="8.34"/>
    <n v="5.35"/>
    <x v="427"/>
    <x v="0"/>
    <n v="732695385"/>
  </r>
  <r>
    <x v="11"/>
    <x v="6"/>
    <x v="5"/>
    <x v="6"/>
    <s v="Mid"/>
    <x v="3"/>
    <n v="4026791"/>
    <n v="152026"/>
    <n v="131"/>
    <n v="1.28"/>
    <n v="5.91"/>
    <n v="6.73"/>
    <n v="5.03"/>
    <x v="168"/>
    <x v="0"/>
    <n v="2412047809"/>
  </r>
  <r>
    <x v="12"/>
    <x v="11"/>
    <x v="4"/>
    <x v="6"/>
    <s v="Mid"/>
    <x v="1"/>
    <n v="1991706"/>
    <n v="199086"/>
    <n v="83"/>
    <n v="1.59"/>
    <n v="7.51"/>
    <n v="4.3099999999999996"/>
    <n v="9.19"/>
    <x v="3"/>
    <x v="0"/>
    <n v="1453945380"/>
  </r>
  <r>
    <x v="11"/>
    <x v="5"/>
    <x v="4"/>
    <x v="6"/>
    <s v="Mid"/>
    <x v="2"/>
    <n v="4889570"/>
    <n v="227855"/>
    <n v="34"/>
    <n v="1.98"/>
    <n v="5.1100000000000003"/>
    <n v="5.96"/>
    <n v="8.4"/>
    <x v="701"/>
    <x v="0"/>
    <n v="787220770"/>
  </r>
  <r>
    <x v="11"/>
    <x v="6"/>
    <x v="9"/>
    <x v="4"/>
    <s v="Premium"/>
    <x v="1"/>
    <n v="3087069"/>
    <n v="372130"/>
    <n v="86"/>
    <n v="1.91"/>
    <n v="5.52"/>
    <n v="7.73"/>
    <n v="8.5"/>
    <x v="702"/>
    <x v="1"/>
    <n v="907598286"/>
  </r>
  <r>
    <x v="12"/>
    <x v="0"/>
    <x v="1"/>
    <x v="3"/>
    <s v="Premium"/>
    <x v="2"/>
    <n v="2993233"/>
    <n v="340972"/>
    <n v="54"/>
    <n v="1.51"/>
    <n v="5.39"/>
    <n v="5.46"/>
    <n v="7.5"/>
    <x v="693"/>
    <x v="0"/>
    <n v="221499242"/>
  </r>
  <r>
    <x v="12"/>
    <x v="9"/>
    <x v="7"/>
    <x v="7"/>
    <s v="Premium"/>
    <x v="0"/>
    <n v="4730351"/>
    <n v="476606"/>
    <n v="48"/>
    <n v="1.5"/>
    <n v="7.4"/>
    <n v="5.65"/>
    <n v="5.5"/>
    <x v="637"/>
    <x v="1"/>
    <n v="2686839368"/>
  </r>
  <r>
    <x v="11"/>
    <x v="9"/>
    <x v="1"/>
    <x v="6"/>
    <s v="Mid"/>
    <x v="1"/>
    <n v="4267689"/>
    <n v="470692"/>
    <n v="152"/>
    <n v="1.73"/>
    <n v="3.49"/>
    <n v="6.2"/>
    <n v="9.0299999999999994"/>
    <x v="703"/>
    <x v="1"/>
    <n v="853537800"/>
  </r>
  <r>
    <x v="11"/>
    <x v="3"/>
    <x v="7"/>
    <x v="7"/>
    <s v="Premium"/>
    <x v="3"/>
    <n v="2593604"/>
    <n v="496323"/>
    <n v="66"/>
    <n v="1.33"/>
    <n v="3.69"/>
    <n v="7.75"/>
    <n v="7.12"/>
    <x v="188"/>
    <x v="1"/>
    <n v="1807741988"/>
  </r>
  <r>
    <x v="12"/>
    <x v="9"/>
    <x v="7"/>
    <x v="7"/>
    <s v="Premium"/>
    <x v="3"/>
    <n v="2083582"/>
    <n v="367455"/>
    <n v="143"/>
    <n v="1.97"/>
    <n v="5.25"/>
    <n v="5.36"/>
    <n v="3.62"/>
    <x v="368"/>
    <x v="1"/>
    <n v="870937276"/>
  </r>
  <r>
    <x v="11"/>
    <x v="8"/>
    <x v="9"/>
    <x v="4"/>
    <s v="Premium"/>
    <x v="1"/>
    <n v="2210634"/>
    <n v="128719"/>
    <n v="83"/>
    <n v="1.76"/>
    <n v="5.36"/>
    <n v="6.94"/>
    <n v="1.1499999999999999"/>
    <x v="188"/>
    <x v="1"/>
    <n v="15408118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C89A9-ABA4-4970-8AF1-AF5B0BDEBD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ngine Type">
  <location ref="J3:K9" firstHeaderRow="1" firstDataRow="1" firstDataCol="1"/>
  <pivotFields count="16">
    <pivotField showAll="0">
      <items count="14">
        <item x="8"/>
        <item x="7"/>
        <item x="5"/>
        <item x="1"/>
        <item x="3"/>
        <item x="6"/>
        <item x="0"/>
        <item x="2"/>
        <item x="9"/>
        <item x="4"/>
        <item x="11"/>
        <item x="12"/>
        <item x="10"/>
        <item t="default"/>
      </items>
    </pivotField>
    <pivotField showAll="0">
      <items count="14">
        <item x="0"/>
        <item x="11"/>
        <item x="9"/>
        <item x="4"/>
        <item x="5"/>
        <item x="8"/>
        <item x="10"/>
        <item x="1"/>
        <item x="7"/>
        <item x="6"/>
        <item x="3"/>
        <item x="2"/>
        <item x="12"/>
        <item t="default"/>
      </items>
    </pivotField>
    <pivotField showAll="0">
      <items count="12">
        <item x="0"/>
        <item x="2"/>
        <item x="6"/>
        <item x="3"/>
        <item x="8"/>
        <item x="7"/>
        <item x="4"/>
        <item x="9"/>
        <item x="5"/>
        <item x="1"/>
        <item x="10"/>
        <item t="default"/>
      </items>
    </pivotField>
    <pivotField showAll="0">
      <items count="13">
        <item h="1" x="6"/>
        <item x="2"/>
        <item x="7"/>
        <item f="1" x="11"/>
        <item x="1"/>
        <item x="3"/>
        <item x="9"/>
        <item x="0"/>
        <item x="8"/>
        <item x="4"/>
        <item x="5"/>
        <item x="10"/>
        <item t="default"/>
      </items>
    </pivotField>
    <pivotField showAll="0"/>
    <pivotField axis="axisRow" showAll="0">
      <items count="6">
        <item x="3"/>
        <item x="1"/>
        <item x="2"/>
        <item x="0"/>
        <item x="4"/>
        <item t="default"/>
      </items>
    </pivotField>
    <pivotField showAll="0"/>
    <pivotField showAll="0"/>
    <pivotField showAll="0"/>
    <pivotField showAll="0"/>
    <pivotField showAll="0"/>
    <pivotField showAll="0"/>
    <pivotField showAll="0"/>
    <pivotField dataField="1" showAll="0"/>
    <pivotField showAll="0"/>
    <pivotField numFmtId="164" showAll="0"/>
  </pivotFields>
  <rowFields count="1">
    <field x="5"/>
  </rowFields>
  <rowItems count="6">
    <i>
      <x/>
    </i>
    <i>
      <x v="1"/>
    </i>
    <i>
      <x v="2"/>
    </i>
    <i>
      <x v="3"/>
    </i>
    <i>
      <x v="4"/>
    </i>
    <i t="grand">
      <x/>
    </i>
  </rowItems>
  <colItems count="1">
    <i/>
  </colItems>
  <dataFields count="1">
    <dataField name="Sum of units_sold" fld="13"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8" format="11">
      <pivotArea type="data" outline="0" fieldPosition="0">
        <references count="2">
          <reference field="4294967294" count="1" selected="0">
            <x v="0"/>
          </reference>
          <reference field="5" count="1" selected="0">
            <x v="3"/>
          </reference>
        </references>
      </pivotArea>
    </chartFormat>
    <chartFormat chart="8"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8C4B4B-8DC2-41C3-8E33-CEBF108AF8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dels">
  <location ref="F3:G15" firstHeaderRow="1" firstDataRow="1" firstDataCol="1"/>
  <pivotFields count="16">
    <pivotField showAll="0">
      <items count="14">
        <item x="8"/>
        <item x="7"/>
        <item x="5"/>
        <item x="1"/>
        <item x="3"/>
        <item x="6"/>
        <item x="0"/>
        <item x="2"/>
        <item x="9"/>
        <item x="4"/>
        <item x="11"/>
        <item x="12"/>
        <item x="10"/>
        <item t="default"/>
      </items>
    </pivotField>
    <pivotField showAll="0">
      <items count="14">
        <item x="0"/>
        <item x="11"/>
        <item x="9"/>
        <item x="4"/>
        <item x="5"/>
        <item x="8"/>
        <item x="10"/>
        <item x="1"/>
        <item x="7"/>
        <item x="6"/>
        <item x="3"/>
        <item x="2"/>
        <item x="12"/>
        <item t="default"/>
      </items>
    </pivotField>
    <pivotField showAll="0">
      <items count="12">
        <item x="0"/>
        <item x="2"/>
        <item x="6"/>
        <item x="3"/>
        <item x="8"/>
        <item x="7"/>
        <item x="4"/>
        <item x="9"/>
        <item x="5"/>
        <item x="1"/>
        <item x="10"/>
        <item t="default"/>
      </items>
    </pivotField>
    <pivotField axis="axisRow" showAll="0">
      <items count="13">
        <item h="1" x="6"/>
        <item x="2"/>
        <item x="7"/>
        <item f="1" x="11"/>
        <item x="1"/>
        <item x="3"/>
        <item x="9"/>
        <item x="0"/>
        <item x="8"/>
        <item x="4"/>
        <item x="5"/>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164" showAll="0"/>
  </pivotFields>
  <rowFields count="1">
    <field x="3"/>
  </rowFields>
  <rowItems count="12">
    <i>
      <x v="1"/>
    </i>
    <i>
      <x v="2"/>
    </i>
    <i>
      <x v="3"/>
    </i>
    <i>
      <x v="4"/>
    </i>
    <i>
      <x v="5"/>
    </i>
    <i>
      <x v="6"/>
    </i>
    <i>
      <x v="7"/>
    </i>
    <i>
      <x v="8"/>
    </i>
    <i>
      <x v="9"/>
    </i>
    <i>
      <x v="10"/>
    </i>
    <i>
      <x v="11"/>
    </i>
    <i t="grand">
      <x/>
    </i>
  </rowItems>
  <colItems count="1">
    <i/>
  </colItems>
  <dataFields count="1">
    <dataField name="Sum of units_sold" fld="13"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A8BFA-1E77-423D-BDFC-1C559C0EF0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ountry">
  <location ref="B3:C15" firstHeaderRow="1" firstDataRow="1" firstDataCol="1"/>
  <pivotFields count="16">
    <pivotField showAll="0">
      <items count="14">
        <item x="8"/>
        <item x="7"/>
        <item x="5"/>
        <item x="1"/>
        <item x="3"/>
        <item x="6"/>
        <item x="0"/>
        <item x="2"/>
        <item x="9"/>
        <item x="4"/>
        <item x="11"/>
        <item x="12"/>
        <item x="10"/>
        <item t="default"/>
      </items>
    </pivotField>
    <pivotField showAll="0">
      <items count="14">
        <item x="0"/>
        <item x="11"/>
        <item x="9"/>
        <item x="4"/>
        <item x="5"/>
        <item x="8"/>
        <item x="10"/>
        <item x="1"/>
        <item x="7"/>
        <item x="6"/>
        <item x="3"/>
        <item x="2"/>
        <item x="12"/>
        <item t="default"/>
      </items>
    </pivotField>
    <pivotField axis="axisRow" showAll="0" sortType="descending">
      <items count="12">
        <item x="0"/>
        <item x="2"/>
        <item x="6"/>
        <item x="3"/>
        <item x="8"/>
        <item x="7"/>
        <item x="4"/>
        <item x="9"/>
        <item x="5"/>
        <item x="1"/>
        <item x="10"/>
        <item t="default"/>
      </items>
      <autoSortScope>
        <pivotArea dataOnly="0" outline="0" fieldPosition="0">
          <references count="1">
            <reference field="4294967294" count="1" selected="0">
              <x v="0"/>
            </reference>
          </references>
        </pivotArea>
      </autoSortScope>
    </pivotField>
    <pivotField showAll="0">
      <items count="13">
        <item h="1" x="6"/>
        <item x="2"/>
        <item x="7"/>
        <item f="1" x="11"/>
        <item x="1"/>
        <item x="3"/>
        <item x="9"/>
        <item x="0"/>
        <item x="8"/>
        <item x="4"/>
        <item x="5"/>
        <item x="10"/>
        <item t="default"/>
      </items>
    </pivotField>
    <pivotField showAll="0"/>
    <pivotField showAll="0"/>
    <pivotField showAll="0"/>
    <pivotField showAll="0"/>
    <pivotField showAll="0"/>
    <pivotField showAll="0"/>
    <pivotField showAll="0"/>
    <pivotField showAll="0"/>
    <pivotField showAll="0"/>
    <pivotField dataField="1" showAll="0">
      <items count="705">
        <item x="24"/>
        <item x="688"/>
        <item x="655"/>
        <item x="606"/>
        <item x="649"/>
        <item x="669"/>
        <item x="659"/>
        <item x="260"/>
        <item x="545"/>
        <item x="357"/>
        <item x="693"/>
        <item x="679"/>
        <item x="549"/>
        <item x="678"/>
        <item x="628"/>
        <item x="624"/>
        <item x="492"/>
        <item x="646"/>
        <item x="654"/>
        <item x="609"/>
        <item x="676"/>
        <item x="697"/>
        <item x="95"/>
        <item x="453"/>
        <item x="25"/>
        <item x="681"/>
        <item x="652"/>
        <item x="429"/>
        <item x="66"/>
        <item x="152"/>
        <item x="143"/>
        <item x="498"/>
        <item x="653"/>
        <item x="269"/>
        <item x="566"/>
        <item x="643"/>
        <item x="622"/>
        <item x="187"/>
        <item x="692"/>
        <item x="328"/>
        <item x="388"/>
        <item x="596"/>
        <item x="395"/>
        <item x="2"/>
        <item x="504"/>
        <item x="386"/>
        <item x="284"/>
        <item x="701"/>
        <item x="203"/>
        <item x="651"/>
        <item x="416"/>
        <item x="500"/>
        <item x="181"/>
        <item x="265"/>
        <item x="675"/>
        <item x="30"/>
        <item x="657"/>
        <item x="424"/>
        <item x="52"/>
        <item x="520"/>
        <item x="574"/>
        <item x="167"/>
        <item x="640"/>
        <item x="656"/>
        <item x="233"/>
        <item x="344"/>
        <item x="104"/>
        <item x="555"/>
        <item x="682"/>
        <item x="244"/>
        <item x="626"/>
        <item x="703"/>
        <item x="241"/>
        <item x="133"/>
        <item x="53"/>
        <item x="298"/>
        <item x="333"/>
        <item x="219"/>
        <item x="183"/>
        <item x="404"/>
        <item x="33"/>
        <item x="356"/>
        <item x="645"/>
        <item x="483"/>
        <item x="533"/>
        <item x="46"/>
        <item x="474"/>
        <item x="638"/>
        <item x="623"/>
        <item x="321"/>
        <item x="508"/>
        <item x="547"/>
        <item x="630"/>
        <item x="605"/>
        <item x="527"/>
        <item x="178"/>
        <item x="313"/>
        <item x="502"/>
        <item x="327"/>
        <item x="441"/>
        <item x="629"/>
        <item x="576"/>
        <item x="359"/>
        <item x="262"/>
        <item x="484"/>
        <item x="310"/>
        <item x="644"/>
        <item x="631"/>
        <item x="69"/>
        <item x="237"/>
        <item x="397"/>
        <item x="593"/>
        <item x="559"/>
        <item x="79"/>
        <item x="489"/>
        <item x="556"/>
        <item x="223"/>
        <item x="417"/>
        <item x="419"/>
        <item x="671"/>
        <item x="495"/>
        <item x="672"/>
        <item x="155"/>
        <item x="291"/>
        <item x="55"/>
        <item x="702"/>
        <item x="367"/>
        <item x="491"/>
        <item x="113"/>
        <item x="660"/>
        <item x="544"/>
        <item x="263"/>
        <item x="536"/>
        <item x="478"/>
        <item x="338"/>
        <item x="287"/>
        <item x="13"/>
        <item x="426"/>
        <item x="667"/>
        <item x="415"/>
        <item x="551"/>
        <item x="238"/>
        <item x="444"/>
        <item x="647"/>
        <item x="486"/>
        <item x="196"/>
        <item x="330"/>
        <item x="607"/>
        <item x="696"/>
        <item x="0"/>
        <item x="434"/>
        <item x="553"/>
        <item x="639"/>
        <item x="613"/>
        <item x="683"/>
        <item x="587"/>
        <item x="595"/>
        <item x="627"/>
        <item x="174"/>
        <item x="221"/>
        <item x="317"/>
        <item x="165"/>
        <item x="60"/>
        <item x="583"/>
        <item x="695"/>
        <item x="249"/>
        <item x="318"/>
        <item x="450"/>
        <item x="250"/>
        <item x="49"/>
        <item x="205"/>
        <item x="202"/>
        <item x="159"/>
        <item x="664"/>
        <item x="677"/>
        <item x="206"/>
        <item x="36"/>
        <item x="255"/>
        <item x="72"/>
        <item x="642"/>
        <item x="349"/>
        <item x="124"/>
        <item x="184"/>
        <item x="561"/>
        <item x="457"/>
        <item x="687"/>
        <item x="39"/>
        <item x="427"/>
        <item x="166"/>
        <item x="443"/>
        <item x="160"/>
        <item x="32"/>
        <item x="535"/>
        <item x="674"/>
        <item x="63"/>
        <item x="295"/>
        <item x="45"/>
        <item x="28"/>
        <item x="258"/>
        <item x="345"/>
        <item x="550"/>
        <item x="599"/>
        <item x="694"/>
        <item x="632"/>
        <item x="373"/>
        <item x="213"/>
        <item x="135"/>
        <item x="361"/>
        <item x="440"/>
        <item x="204"/>
        <item x="700"/>
        <item x="44"/>
        <item x="459"/>
        <item x="358"/>
        <item x="365"/>
        <item x="368"/>
        <item x="180"/>
        <item x="227"/>
        <item x="117"/>
        <item x="673"/>
        <item x="259"/>
        <item x="137"/>
        <item x="109"/>
        <item x="650"/>
        <item x="379"/>
        <item x="41"/>
        <item x="271"/>
        <item x="425"/>
        <item x="256"/>
        <item x="351"/>
        <item x="480"/>
        <item x="7"/>
        <item x="243"/>
        <item x="534"/>
        <item x="222"/>
        <item x="663"/>
        <item x="189"/>
        <item x="9"/>
        <item x="147"/>
        <item x="216"/>
        <item x="96"/>
        <item x="58"/>
        <item x="636"/>
        <item x="575"/>
        <item x="461"/>
        <item x="177"/>
        <item x="446"/>
        <item x="487"/>
        <item x="588"/>
        <item x="151"/>
        <item x="281"/>
        <item x="296"/>
        <item x="531"/>
        <item x="346"/>
        <item x="235"/>
        <item x="146"/>
        <item x="252"/>
        <item x="77"/>
        <item x="292"/>
        <item x="48"/>
        <item x="190"/>
        <item x="699"/>
        <item x="375"/>
        <item x="385"/>
        <item x="467"/>
        <item x="387"/>
        <item x="6"/>
        <item x="430"/>
        <item x="331"/>
        <item x="625"/>
        <item x="56"/>
        <item x="449"/>
        <item x="282"/>
        <item x="264"/>
        <item x="306"/>
        <item x="186"/>
        <item x="84"/>
        <item x="254"/>
        <item x="154"/>
        <item x="90"/>
        <item x="410"/>
        <item x="175"/>
        <item x="390"/>
        <item x="481"/>
        <item x="261"/>
        <item x="529"/>
        <item x="212"/>
        <item x="300"/>
        <item x="67"/>
        <item x="156"/>
        <item x="273"/>
        <item x="293"/>
        <item x="586"/>
        <item x="26"/>
        <item x="398"/>
        <item x="278"/>
        <item x="689"/>
        <item x="157"/>
        <item x="229"/>
        <item x="131"/>
        <item x="80"/>
        <item x="73"/>
        <item x="270"/>
        <item x="17"/>
        <item x="171"/>
        <item x="211"/>
        <item x="302"/>
        <item x="226"/>
        <item x="193"/>
        <item x="40"/>
        <item x="19"/>
        <item x="393"/>
        <item x="582"/>
        <item x="494"/>
        <item x="207"/>
        <item x="118"/>
        <item x="275"/>
        <item x="428"/>
        <item x="257"/>
        <item x="680"/>
        <item x="1"/>
        <item x="463"/>
        <item x="83"/>
        <item x="572"/>
        <item x="362"/>
        <item x="698"/>
        <item x="686"/>
        <item x="86"/>
        <item x="608"/>
        <item x="592"/>
        <item x="322"/>
        <item x="637"/>
        <item x="634"/>
        <item x="518"/>
        <item x="297"/>
        <item x="352"/>
        <item x="641"/>
        <item x="353"/>
        <item x="57"/>
        <item x="54"/>
        <item x="589"/>
        <item x="332"/>
        <item x="610"/>
        <item x="546"/>
        <item x="81"/>
        <item x="437"/>
        <item x="15"/>
        <item x="435"/>
        <item x="89"/>
        <item x="526"/>
        <item x="138"/>
        <item x="510"/>
        <item x="168"/>
        <item x="568"/>
        <item x="409"/>
        <item x="381"/>
        <item x="690"/>
        <item x="76"/>
        <item x="580"/>
        <item x="600"/>
        <item x="308"/>
        <item x="268"/>
        <item x="68"/>
        <item x="303"/>
        <item x="618"/>
        <item x="236"/>
        <item x="319"/>
        <item x="106"/>
        <item x="685"/>
        <item x="224"/>
        <item x="120"/>
        <item x="149"/>
        <item x="548"/>
        <item x="92"/>
        <item x="496"/>
        <item x="121"/>
        <item x="665"/>
        <item x="231"/>
        <item x="350"/>
        <item x="447"/>
        <item x="342"/>
        <item x="392"/>
        <item x="246"/>
        <item x="420"/>
        <item x="16"/>
        <item x="422"/>
        <item x="272"/>
        <item x="616"/>
        <item x="658"/>
        <item x="61"/>
        <item x="31"/>
        <item x="182"/>
        <item x="633"/>
        <item x="286"/>
        <item x="99"/>
        <item x="406"/>
        <item x="42"/>
        <item x="307"/>
        <item x="458"/>
        <item x="336"/>
        <item x="200"/>
        <item x="408"/>
        <item x="82"/>
        <item x="418"/>
        <item x="564"/>
        <item x="232"/>
        <item x="23"/>
        <item x="239"/>
        <item x="248"/>
        <item x="666"/>
        <item x="71"/>
        <item x="521"/>
        <item x="51"/>
        <item x="280"/>
        <item x="400"/>
        <item x="466"/>
        <item x="513"/>
        <item x="506"/>
        <item x="134"/>
        <item x="112"/>
        <item x="5"/>
        <item x="684"/>
        <item x="74"/>
        <item x="537"/>
        <item x="528"/>
        <item x="562"/>
        <item x="188"/>
        <item x="614"/>
        <item x="311"/>
        <item x="285"/>
        <item x="433"/>
        <item x="612"/>
        <item x="35"/>
        <item x="78"/>
        <item x="525"/>
        <item x="402"/>
        <item x="102"/>
        <item x="604"/>
        <item x="383"/>
        <item x="11"/>
        <item x="476"/>
        <item x="514"/>
        <item x="661"/>
        <item x="114"/>
        <item x="378"/>
        <item x="279"/>
        <item x="309"/>
        <item x="454"/>
        <item x="376"/>
        <item x="335"/>
        <item x="14"/>
        <item x="615"/>
        <item x="567"/>
        <item x="101"/>
        <item x="3"/>
        <item x="648"/>
        <item x="554"/>
        <item x="401"/>
        <item x="266"/>
        <item x="432"/>
        <item x="423"/>
        <item x="468"/>
        <item x="602"/>
        <item x="111"/>
        <item x="37"/>
        <item x="173"/>
        <item x="552"/>
        <item x="123"/>
        <item x="412"/>
        <item x="20"/>
        <item x="125"/>
        <item x="472"/>
        <item x="128"/>
        <item x="621"/>
        <item x="411"/>
        <item x="691"/>
        <item x="136"/>
        <item x="341"/>
        <item x="479"/>
        <item x="635"/>
        <item x="139"/>
        <item x="662"/>
        <item x="670"/>
        <item x="29"/>
        <item x="334"/>
        <item x="343"/>
        <item x="127"/>
        <item x="192"/>
        <item x="27"/>
        <item x="617"/>
        <item x="364"/>
        <item x="516"/>
        <item x="532"/>
        <item x="668"/>
        <item x="163"/>
        <item x="542"/>
        <item x="176"/>
        <item x="581"/>
        <item x="577"/>
        <item x="194"/>
        <item x="445"/>
        <item x="414"/>
        <item x="482"/>
        <item x="439"/>
        <item x="530"/>
        <item x="38"/>
        <item x="150"/>
        <item x="240"/>
        <item x="557"/>
        <item x="218"/>
        <item x="339"/>
        <item x="462"/>
        <item x="169"/>
        <item x="512"/>
        <item x="179"/>
        <item x="597"/>
        <item x="541"/>
        <item x="591"/>
        <item x="85"/>
        <item x="571"/>
        <item x="515"/>
        <item x="10"/>
        <item x="452"/>
        <item x="201"/>
        <item x="503"/>
        <item x="455"/>
        <item x="267"/>
        <item x="122"/>
        <item x="220"/>
        <item x="464"/>
        <item x="161"/>
        <item x="93"/>
        <item x="65"/>
        <item x="129"/>
        <item x="142"/>
        <item x="485"/>
        <item x="108"/>
        <item x="209"/>
        <item x="490"/>
        <item x="360"/>
        <item x="389"/>
        <item x="340"/>
        <item x="320"/>
        <item x="366"/>
        <item x="88"/>
        <item x="105"/>
        <item x="324"/>
        <item x="277"/>
        <item x="460"/>
        <item x="374"/>
        <item x="523"/>
        <item x="94"/>
        <item x="590"/>
        <item x="145"/>
        <item x="158"/>
        <item x="347"/>
        <item x="329"/>
        <item x="162"/>
        <item x="363"/>
        <item x="619"/>
        <item x="563"/>
        <item x="283"/>
        <item x="199"/>
        <item x="471"/>
        <item x="384"/>
        <item x="228"/>
        <item x="585"/>
        <item x="75"/>
        <item x="570"/>
        <item x="370"/>
        <item x="208"/>
        <item x="100"/>
        <item x="413"/>
        <item x="115"/>
        <item x="573"/>
        <item x="501"/>
        <item x="348"/>
        <item x="130"/>
        <item x="560"/>
        <item x="569"/>
        <item x="442"/>
        <item x="144"/>
        <item x="354"/>
        <item x="517"/>
        <item x="153"/>
        <item x="197"/>
        <item x="214"/>
        <item x="565"/>
        <item x="497"/>
        <item x="380"/>
        <item x="369"/>
        <item x="314"/>
        <item x="507"/>
        <item x="304"/>
        <item x="399"/>
        <item x="396"/>
        <item x="234"/>
        <item x="119"/>
        <item x="230"/>
        <item x="97"/>
        <item x="34"/>
        <item x="98"/>
        <item x="62"/>
        <item x="337"/>
        <item x="22"/>
        <item x="148"/>
        <item x="288"/>
        <item x="274"/>
        <item x="477"/>
        <item x="488"/>
        <item x="522"/>
        <item x="172"/>
        <item x="558"/>
        <item x="524"/>
        <item x="594"/>
        <item x="185"/>
        <item x="438"/>
        <item x="316"/>
        <item x="326"/>
        <item x="305"/>
        <item x="405"/>
        <item x="451"/>
        <item x="543"/>
        <item x="132"/>
        <item x="47"/>
        <item x="448"/>
        <item x="470"/>
        <item x="140"/>
        <item x="217"/>
        <item x="43"/>
        <item x="18"/>
        <item x="493"/>
        <item x="103"/>
        <item x="191"/>
        <item x="210"/>
        <item x="315"/>
        <item x="323"/>
        <item x="294"/>
        <item x="245"/>
        <item x="403"/>
        <item x="456"/>
        <item x="215"/>
        <item x="164"/>
        <item x="253"/>
        <item x="598"/>
        <item x="407"/>
        <item x="421"/>
        <item x="579"/>
        <item x="116"/>
        <item x="141"/>
        <item x="170"/>
        <item x="107"/>
        <item x="242"/>
        <item x="110"/>
        <item x="21"/>
        <item x="469"/>
        <item x="87"/>
        <item x="511"/>
        <item x="436"/>
        <item x="59"/>
        <item x="465"/>
        <item x="509"/>
        <item x="539"/>
        <item x="312"/>
        <item x="8"/>
        <item x="247"/>
        <item x="325"/>
        <item x="290"/>
        <item x="505"/>
        <item x="499"/>
        <item x="538"/>
        <item x="289"/>
        <item x="198"/>
        <item x="225"/>
        <item x="382"/>
        <item x="431"/>
        <item x="70"/>
        <item x="601"/>
        <item x="371"/>
        <item x="475"/>
        <item x="540"/>
        <item x="611"/>
        <item x="519"/>
        <item x="578"/>
        <item x="299"/>
        <item x="301"/>
        <item x="50"/>
        <item x="584"/>
        <item x="276"/>
        <item x="391"/>
        <item x="4"/>
        <item x="377"/>
        <item x="126"/>
        <item x="91"/>
        <item x="12"/>
        <item x="64"/>
        <item x="473"/>
        <item x="251"/>
        <item x="603"/>
        <item x="355"/>
        <item x="394"/>
        <item x="195"/>
        <item x="372"/>
        <item x="620"/>
        <item t="default"/>
      </items>
    </pivotField>
    <pivotField showAll="0"/>
    <pivotField numFmtId="164" showAll="0"/>
  </pivotFields>
  <rowFields count="1">
    <field x="2"/>
  </rowFields>
  <rowItems count="12">
    <i>
      <x v="8"/>
    </i>
    <i>
      <x v="6"/>
    </i>
    <i>
      <x v="3"/>
    </i>
    <i>
      <x v="5"/>
    </i>
    <i>
      <x v="7"/>
    </i>
    <i>
      <x v="4"/>
    </i>
    <i>
      <x v="1"/>
    </i>
    <i>
      <x v="9"/>
    </i>
    <i>
      <x/>
    </i>
    <i>
      <x v="2"/>
    </i>
    <i>
      <x v="10"/>
    </i>
    <i t="grand">
      <x/>
    </i>
  </rowItems>
  <colItems count="1">
    <i/>
  </colItems>
  <dataFields count="1">
    <dataField name="Sum of units_sold" fld="13"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C0884C-B23E-423A-9E99-D172EBCD59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B18:D30" firstHeaderRow="0" firstDataRow="1" firstDataCol="1"/>
  <pivotFields count="16">
    <pivotField showAll="0">
      <items count="14">
        <item x="8"/>
        <item x="7"/>
        <item x="5"/>
        <item x="1"/>
        <item x="3"/>
        <item x="6"/>
        <item x="0"/>
        <item x="2"/>
        <item x="9"/>
        <item x="4"/>
        <item x="11"/>
        <item x="12"/>
        <item x="10"/>
        <item t="default"/>
      </items>
    </pivotField>
    <pivotField showAll="0">
      <items count="14">
        <item x="0"/>
        <item x="11"/>
        <item x="9"/>
        <item x="4"/>
        <item x="5"/>
        <item x="8"/>
        <item x="10"/>
        <item x="1"/>
        <item x="7"/>
        <item x="6"/>
        <item x="3"/>
        <item x="2"/>
        <item x="12"/>
        <item t="default"/>
      </items>
    </pivotField>
    <pivotField axis="axisRow" showAll="0">
      <items count="12">
        <item x="0"/>
        <item x="2"/>
        <item x="6"/>
        <item x="3"/>
        <item x="8"/>
        <item x="7"/>
        <item x="4"/>
        <item x="9"/>
        <item x="5"/>
        <item x="1"/>
        <item x="10"/>
        <item t="default"/>
      </items>
    </pivotField>
    <pivotField showAll="0">
      <items count="13">
        <item h="1" x="6"/>
        <item x="2"/>
        <item x="7"/>
        <item f="1" x="11"/>
        <item x="1"/>
        <item x="3"/>
        <item x="9"/>
        <item x="0"/>
        <item x="8"/>
        <item x="4"/>
        <item x="5"/>
        <item x="10"/>
        <item t="default"/>
      </items>
    </pivotField>
    <pivotField showAll="0"/>
    <pivotField showAll="0"/>
    <pivotField dataField="1" showAll="0"/>
    <pivotField showAll="0"/>
    <pivotField showAll="0"/>
    <pivotField showAll="0"/>
    <pivotField showAll="0"/>
    <pivotField showAll="0"/>
    <pivotField showAll="0"/>
    <pivotField dataField="1" showAll="0"/>
    <pivotField showAll="0"/>
    <pivotField numFmtId="164"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price_inr" fld="6" baseField="0" baseItem="0"/>
    <dataField name="Sum of units_sold" fld="1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FFB3C9-8AF8-4610-9F13-08B9DE7D0C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urchase Type">
  <location ref="N3:O7" firstHeaderRow="1" firstDataRow="1" firstDataCol="1"/>
  <pivotFields count="16">
    <pivotField showAll="0">
      <items count="14">
        <item x="8"/>
        <item x="7"/>
        <item x="5"/>
        <item x="1"/>
        <item x="3"/>
        <item x="6"/>
        <item x="0"/>
        <item x="2"/>
        <item x="9"/>
        <item x="4"/>
        <item x="11"/>
        <item x="12"/>
        <item x="10"/>
        <item t="default"/>
      </items>
    </pivotField>
    <pivotField showAll="0">
      <items count="14">
        <item x="0"/>
        <item x="11"/>
        <item x="9"/>
        <item x="4"/>
        <item x="5"/>
        <item x="8"/>
        <item x="10"/>
        <item x="1"/>
        <item x="7"/>
        <item x="6"/>
        <item x="3"/>
        <item x="2"/>
        <item x="12"/>
        <item t="default"/>
      </items>
    </pivotField>
    <pivotField showAll="0">
      <items count="12">
        <item x="0"/>
        <item x="2"/>
        <item x="6"/>
        <item x="3"/>
        <item x="8"/>
        <item x="7"/>
        <item x="4"/>
        <item x="9"/>
        <item x="5"/>
        <item x="1"/>
        <item x="10"/>
        <item t="default"/>
      </items>
    </pivotField>
    <pivotField showAll="0">
      <items count="13">
        <item h="1" x="6"/>
        <item x="2"/>
        <item x="7"/>
        <item f="1" x="11"/>
        <item x="1"/>
        <item x="3"/>
        <item x="9"/>
        <item x="0"/>
        <item x="8"/>
        <item x="4"/>
        <item x="5"/>
        <item x="1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numFmtId="164" showAll="0"/>
  </pivotFields>
  <rowFields count="1">
    <field x="14"/>
  </rowFields>
  <rowItems count="4">
    <i>
      <x/>
    </i>
    <i>
      <x v="1"/>
    </i>
    <i>
      <x v="2"/>
    </i>
    <i t="grand">
      <x/>
    </i>
  </rowItems>
  <colItems count="1">
    <i/>
  </colItems>
  <dataFields count="1">
    <dataField name="Sum of units_sold" fld="13"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35014E-278F-4F0F-96F3-218513F936E8}" sourceName="country">
  <pivotTables>
    <pivotTable tabId="10" name="PivotTable1"/>
    <pivotTable tabId="10" name="PivotTable2"/>
    <pivotTable tabId="10" name="PivotTable4"/>
    <pivotTable tabId="10" name="PivotTable5"/>
    <pivotTable tabId="10" name="PivotTable7"/>
  </pivotTables>
  <data>
    <tabular pivotCacheId="140952318">
      <items count="11">
        <i x="0" s="1"/>
        <i x="2" s="1"/>
        <i x="6" s="1"/>
        <i x="3" s="1"/>
        <i x="8" s="1"/>
        <i x="7" s="1"/>
        <i x="4" s="1"/>
        <i x="9" s="1"/>
        <i x="5" s="1"/>
        <i x="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3D8E79-2211-4DD0-A46C-269DFF914137}" sourceName="year">
  <pivotTables>
    <pivotTable tabId="10" name="PivotTable2"/>
    <pivotTable tabId="10" name="PivotTable1"/>
    <pivotTable tabId="10" name="PivotTable4"/>
    <pivotTable tabId="10" name="PivotTable5"/>
    <pivotTable tabId="10" name="PivotTable7"/>
  </pivotTables>
  <data>
    <tabular pivotCacheId="140952318">
      <items count="13">
        <i x="8" s="1"/>
        <i x="7" s="1"/>
        <i x="5" s="1"/>
        <i x="1" s="1"/>
        <i x="3" s="1"/>
        <i x="6" s="1"/>
        <i x="0" s="1"/>
        <i x="2" s="1"/>
        <i x="9" s="1"/>
        <i x="4" s="1"/>
        <i x="11" s="1"/>
        <i x="1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FD5D3246-6BA4-4749-BB18-4D1C7328A230}" sourceName="model">
  <pivotTables>
    <pivotTable tabId="10" name="PivotTable2"/>
    <pivotTable tabId="10" name="PivotTable1"/>
    <pivotTable tabId="10" name="PivotTable4"/>
    <pivotTable tabId="10" name="PivotTable5"/>
    <pivotTable tabId="10" name="PivotTable7"/>
  </pivotTables>
  <data>
    <tabular pivotCacheId="140952318">
      <items count="12">
        <i x="6"/>
        <i x="2" s="1"/>
        <i x="7" s="1"/>
        <i x="11" s="1"/>
        <i x="1" s="1"/>
        <i x="3" s="1"/>
        <i x="9" s="1"/>
        <i x="0" s="1"/>
        <i x="8" s="1"/>
        <i x="4" s="1"/>
        <i x="5"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5A6485D-6653-448C-BB27-10F54342C3BD}" cache="Slicer_country" caption="country" rowHeight="222250"/>
  <slicer name="year" xr10:uid="{B4CFC1A5-C4F2-4112-811F-B6B8B2236FCC}" cache="Slicer_year" caption="year" startItem="9" rowHeight="222250"/>
  <slicer name="model" xr10:uid="{E835F468-4236-4A7B-AC85-47E3036777B6}" cache="Slicer_model" caption="model"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1FC46D-BF63-44A7-A441-056E46A379C5}" name="Table1" displayName="Table1" ref="A1:P1221" totalsRowShown="0" headerRowDxfId="33" dataDxfId="32">
  <autoFilter ref="A1:P1221" xr:uid="{DA1FC46D-BF63-44A7-A441-056E46A379C5}"/>
  <tableColumns count="16">
    <tableColumn id="1" xr3:uid="{5AC21A72-EE8F-4A44-91E3-D41F1F1C4DF2}" name="year" dataDxfId="31" totalsRowDxfId="30"/>
    <tableColumn id="2" xr3:uid="{2E14E981-3555-4CAC-AE6A-6544B2D0C87B}" name="month" dataDxfId="29" totalsRowDxfId="28"/>
    <tableColumn id="3" xr3:uid="{BFD93234-E320-4246-B83F-A855DCA477A9}" name="country" dataDxfId="27" totalsRowDxfId="26"/>
    <tableColumn id="4" xr3:uid="{46950D94-FA95-4B0B-8C10-79F7A600FD0B}" name="model" dataDxfId="25" totalsRowDxfId="24"/>
    <tableColumn id="5" xr3:uid="{61BD3B9E-14B7-43FF-959D-99B15401B6C1}" name="segment" dataDxfId="23" totalsRowDxfId="22"/>
    <tableColumn id="6" xr3:uid="{91827BB6-B2ED-4620-9B30-3A124E562717}" name="engine_type" dataDxfId="21" totalsRowDxfId="20"/>
    <tableColumn id="7" xr3:uid="{A080CA4D-18FC-4411-AE2E-119E19C425BA}" name="price_inr" dataDxfId="19" totalsRowDxfId="18"/>
    <tableColumn id="8" xr3:uid="{D45B58ED-2996-45D8-B37D-04152DDAF741}" name="marketing_spend_inr" dataDxfId="17" totalsRowDxfId="16"/>
    <tableColumn id="9" xr3:uid="{10B8CB8A-DCDD-4917-85BA-8DE6B55AD564}" name="dealership_count" dataDxfId="15" totalsRowDxfId="14"/>
    <tableColumn id="10" xr3:uid="{F0001789-4091-4E1F-8B18-B4921D173B8F}" name="fuel_price_usd" dataDxfId="13" totalsRowDxfId="12"/>
    <tableColumn id="11" xr3:uid="{90C1FB1F-DDF6-4386-8533-42A269C95E75}" name="gdp_growth_percent" dataDxfId="11" totalsRowDxfId="10"/>
    <tableColumn id="12" xr3:uid="{88450458-F092-49D2-89DD-7E6EB47811F0}" name="interest_rate_percent" dataDxfId="9" totalsRowDxfId="8"/>
    <tableColumn id="13" xr3:uid="{883EE292-AEAF-45B5-B4FC-3C75282238E6}" name="competition_index" dataDxfId="7" totalsRowDxfId="6"/>
    <tableColumn id="14" xr3:uid="{6FB0B73A-655B-4463-BADC-A74176E91606}" name="units_sold" dataDxfId="5" totalsRowDxfId="4"/>
    <tableColumn id="16" xr3:uid="{ADFEB032-1516-4391-8B17-1E78AA76E108}" name="purchase_type" dataDxfId="3" totalsRowDxfId="2">
      <calculatedColumnFormula>IF(M2&gt;2,"EMI",IF(H2&gt;300000,"Discount","Full"))</calculatedColumnFormula>
    </tableColumn>
    <tableColumn id="17" xr3:uid="{B9E9EF54-A825-4D1C-8339-59306B482281}" name="Final Amount" dataDxfId="1" totalsRowDxfId="0">
      <calculatedColumnFormula>IF(O2="EMI", G2*(1+L2/100), IF(O2="Full", G2, G2*0.9))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hreadedComments/threadedComment1.xml><?xml version="1.0" encoding="utf-8"?>
<ThreadedComments xmlns="http://schemas.microsoft.com/office/spreadsheetml/2018/threadedcomments" xmlns:x="http://schemas.openxmlformats.org/spreadsheetml/2006/main">
  <threadedComment ref="R7" dT="2026-04-15T05:34:39.72" personId="{B51A59ED-9F8F-492C-BC3C-6B7CA73DFA63}" id="{04D35090-1C9B-4F14-8861-8B7DB0403C87}">
    <text xml:space="preserve">Total SUM of Units sold
</text>
  </threadedComment>
  <threadedComment ref="S7" dT="2026-04-15T05:47:21.74" personId="{B51A59ED-9F8F-492C-BC3C-6B7CA73DFA63}" id="{85E8C5CC-C6D3-4A2B-9969-31786A1EA915}">
    <text>Sum total of price</text>
  </threadedComment>
  <threadedComment ref="T7" dT="2026-04-15T05:46:13.23" personId="{B51A59ED-9F8F-492C-BC3C-6B7CA73DFA63}" id="{3819F25F-4702-4294-B456-53A5E488E39E}">
    <text>Sum total of marketing_spend_inr</text>
  </threadedComment>
  <threadedComment ref="U7" dT="2026-04-15T05:46:48.44" personId="{B51A59ED-9F8F-492C-BC3C-6B7CA73DFA63}" id="{CB3D6855-9C43-4F69-B1C9-84E1BDA5EBD7}">
    <text>Avg of dealership_count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3B5F-0686-43A9-B7AA-1226A745F5C7}">
  <sheetPr codeName="Sheet2"/>
  <dimension ref="A1:U2001"/>
  <sheetViews>
    <sheetView topLeftCell="A11" zoomScale="110" zoomScaleNormal="130" workbookViewId="0">
      <selection activeCell="R46" sqref="R46"/>
    </sheetView>
  </sheetViews>
  <sheetFormatPr defaultRowHeight="13.8" x14ac:dyDescent="0.25"/>
  <cols>
    <col min="1" max="1" width="8.5" style="4" customWidth="1"/>
    <col min="2" max="2" width="11" style="4" customWidth="1"/>
    <col min="3" max="3" width="11.8984375" style="4" customWidth="1"/>
    <col min="4" max="4" width="10.69921875" style="4" customWidth="1"/>
    <col min="5" max="5" width="12.59765625" style="4" customWidth="1"/>
    <col min="6" max="6" width="15.796875" style="4" customWidth="1"/>
    <col min="7" max="7" width="15.09765625" style="4" customWidth="1"/>
    <col min="8" max="8" width="24.296875" style="5" customWidth="1"/>
    <col min="9" max="9" width="20" style="4" customWidth="1"/>
    <col min="10" max="10" width="17.796875" style="4" customWidth="1"/>
    <col min="11" max="11" width="23.296875" style="4" customWidth="1"/>
    <col min="12" max="12" width="23.69921875" style="4" customWidth="1"/>
    <col min="13" max="13" width="21.296875" style="4" customWidth="1"/>
    <col min="14" max="15" width="13.8984375" style="4" customWidth="1"/>
    <col min="16" max="16" width="17.59765625" style="13" customWidth="1"/>
    <col min="18" max="18" width="14.09765625" customWidth="1"/>
    <col min="19" max="19" width="21.3984375" customWidth="1"/>
    <col min="20" max="20" width="18.59765625" customWidth="1"/>
    <col min="21" max="21" width="21.296875" customWidth="1"/>
  </cols>
  <sheetData>
    <row r="1" spans="1:21" x14ac:dyDescent="0.25">
      <c r="A1" s="3" t="s">
        <v>0</v>
      </c>
      <c r="B1" s="3" t="s">
        <v>1</v>
      </c>
      <c r="C1" s="3" t="s">
        <v>2</v>
      </c>
      <c r="D1" s="3" t="s">
        <v>3</v>
      </c>
      <c r="E1" s="3" t="s">
        <v>4</v>
      </c>
      <c r="F1" s="3" t="s">
        <v>5</v>
      </c>
      <c r="G1" s="3" t="s">
        <v>38</v>
      </c>
      <c r="H1" s="6" t="s">
        <v>39</v>
      </c>
      <c r="I1" s="3" t="s">
        <v>6</v>
      </c>
      <c r="J1" s="3" t="s">
        <v>7</v>
      </c>
      <c r="K1" s="3" t="s">
        <v>8</v>
      </c>
      <c r="L1" s="3" t="s">
        <v>9</v>
      </c>
      <c r="M1" s="3" t="s">
        <v>10</v>
      </c>
      <c r="N1" s="3" t="s">
        <v>11</v>
      </c>
      <c r="O1" s="3" t="s">
        <v>43</v>
      </c>
      <c r="P1" s="6" t="s">
        <v>44</v>
      </c>
      <c r="R1" s="13"/>
    </row>
    <row r="2" spans="1:21" x14ac:dyDescent="0.25">
      <c r="A2" s="4">
        <v>2021</v>
      </c>
      <c r="B2" s="4">
        <v>1</v>
      </c>
      <c r="C2" s="4" t="s">
        <v>12</v>
      </c>
      <c r="D2" s="4" t="s">
        <v>13</v>
      </c>
      <c r="E2" s="4" t="s">
        <v>14</v>
      </c>
      <c r="F2" s="4" t="s">
        <v>15</v>
      </c>
      <c r="G2" s="5">
        <v>82234</v>
      </c>
      <c r="H2" s="5">
        <v>315372</v>
      </c>
      <c r="I2" s="4">
        <v>96</v>
      </c>
      <c r="J2" s="4">
        <v>0.97</v>
      </c>
      <c r="K2" s="4">
        <v>6.29</v>
      </c>
      <c r="L2" s="4">
        <v>1.2</v>
      </c>
      <c r="M2" s="4">
        <v>8</v>
      </c>
      <c r="N2" s="4">
        <v>324</v>
      </c>
      <c r="O2" s="4" t="str">
        <f t="shared" ref="O2:O65" si="0">IF(M2&gt;2,"EMI",IF(H2&gt;300000,"Discount","Full"))</f>
        <v>EMI</v>
      </c>
      <c r="P2" s="5">
        <f>IF(O2="EMI", G2*(1+L2/100), IF(O2="Full", G2, G2*0.9))</f>
        <v>83220.808000000005</v>
      </c>
    </row>
    <row r="3" spans="1:21" x14ac:dyDescent="0.25">
      <c r="A3" s="4">
        <v>2018</v>
      </c>
      <c r="B3" s="4">
        <v>8</v>
      </c>
      <c r="C3" s="4" t="s">
        <v>12</v>
      </c>
      <c r="D3" s="4" t="s">
        <v>16</v>
      </c>
      <c r="E3" s="4" t="s">
        <v>17</v>
      </c>
      <c r="F3" s="4" t="s">
        <v>18</v>
      </c>
      <c r="G3" s="5">
        <v>82291</v>
      </c>
      <c r="H3" s="5">
        <v>447798</v>
      </c>
      <c r="I3" s="4">
        <v>234</v>
      </c>
      <c r="J3" s="4">
        <v>0.97</v>
      </c>
      <c r="K3" s="4">
        <v>6.29</v>
      </c>
      <c r="L3" s="4">
        <v>1.2</v>
      </c>
      <c r="M3" s="4">
        <v>7</v>
      </c>
      <c r="N3" s="4">
        <v>556</v>
      </c>
      <c r="O3" s="4" t="str">
        <f t="shared" si="0"/>
        <v>EMI</v>
      </c>
      <c r="P3" s="5">
        <f t="shared" ref="P3:P65" si="1">IF(O3="EMI", G3*(1+L3/100), IF(O3="Full", G3, G3*0.9))</f>
        <v>83278.491999999998</v>
      </c>
    </row>
    <row r="4" spans="1:21" x14ac:dyDescent="0.25">
      <c r="A4" s="4">
        <v>2022</v>
      </c>
      <c r="B4" s="4">
        <v>12</v>
      </c>
      <c r="C4" s="4" t="s">
        <v>19</v>
      </c>
      <c r="D4" s="4" t="s">
        <v>20</v>
      </c>
      <c r="E4" s="4" t="s">
        <v>18</v>
      </c>
      <c r="F4" s="4" t="s">
        <v>21</v>
      </c>
      <c r="G4" s="5">
        <v>40594</v>
      </c>
      <c r="H4" s="5">
        <v>259755</v>
      </c>
      <c r="I4" s="4">
        <v>25</v>
      </c>
      <c r="J4" s="4">
        <v>0.97</v>
      </c>
      <c r="K4" s="4">
        <v>6.29</v>
      </c>
      <c r="L4" s="4">
        <v>1.2</v>
      </c>
      <c r="M4" s="4">
        <v>7</v>
      </c>
      <c r="N4" s="4">
        <v>152</v>
      </c>
      <c r="O4" s="4" t="str">
        <f t="shared" si="0"/>
        <v>EMI</v>
      </c>
      <c r="P4" s="5">
        <f t="shared" si="1"/>
        <v>41081.127999999997</v>
      </c>
    </row>
    <row r="5" spans="1:21" x14ac:dyDescent="0.25">
      <c r="A5" s="4">
        <v>2019</v>
      </c>
      <c r="B5" s="4">
        <v>11</v>
      </c>
      <c r="C5" s="4" t="s">
        <v>12</v>
      </c>
      <c r="D5" s="4" t="s">
        <v>22</v>
      </c>
      <c r="E5" s="4" t="s">
        <v>14</v>
      </c>
      <c r="F5" s="4" t="s">
        <v>18</v>
      </c>
      <c r="G5" s="5">
        <v>42371</v>
      </c>
      <c r="H5" s="5">
        <v>323541</v>
      </c>
      <c r="I5" s="4">
        <v>319</v>
      </c>
      <c r="J5" s="4">
        <v>0.97</v>
      </c>
      <c r="K5" s="4">
        <v>6.29</v>
      </c>
      <c r="L5" s="4">
        <v>1.2</v>
      </c>
      <c r="M5" s="4">
        <v>5</v>
      </c>
      <c r="N5" s="4">
        <v>730</v>
      </c>
      <c r="O5" s="4" t="str">
        <f t="shared" si="0"/>
        <v>EMI</v>
      </c>
      <c r="P5" s="5">
        <f t="shared" si="1"/>
        <v>42879.451999999997</v>
      </c>
    </row>
    <row r="6" spans="1:21" ht="14.4" thickBot="1" x14ac:dyDescent="0.3">
      <c r="A6" s="4">
        <v>2021</v>
      </c>
      <c r="B6" s="4">
        <v>12</v>
      </c>
      <c r="C6" s="4" t="s">
        <v>23</v>
      </c>
      <c r="D6" s="4" t="s">
        <v>24</v>
      </c>
      <c r="E6" s="4" t="s">
        <v>14</v>
      </c>
      <c r="F6" s="4" t="s">
        <v>25</v>
      </c>
      <c r="G6" s="5">
        <v>82315</v>
      </c>
      <c r="H6" s="5">
        <v>482015</v>
      </c>
      <c r="I6" s="4">
        <v>367</v>
      </c>
      <c r="J6" s="4">
        <v>0.97</v>
      </c>
      <c r="K6" s="4">
        <v>6.29</v>
      </c>
      <c r="L6" s="4">
        <v>1.2</v>
      </c>
      <c r="M6" s="4">
        <v>2</v>
      </c>
      <c r="N6" s="4">
        <v>1156</v>
      </c>
      <c r="O6" s="4" t="str">
        <f t="shared" si="0"/>
        <v>Discount</v>
      </c>
      <c r="P6" s="5">
        <f t="shared" si="1"/>
        <v>74083.5</v>
      </c>
    </row>
    <row r="7" spans="1:21" ht="14.4" thickTop="1" x14ac:dyDescent="0.25">
      <c r="A7" s="4">
        <v>2024</v>
      </c>
      <c r="B7" s="4">
        <v>12</v>
      </c>
      <c r="C7" s="4" t="s">
        <v>26</v>
      </c>
      <c r="D7" s="4" t="s">
        <v>22</v>
      </c>
      <c r="E7" s="4" t="s">
        <v>18</v>
      </c>
      <c r="F7" s="4" t="s">
        <v>25</v>
      </c>
      <c r="G7" s="5">
        <v>118564</v>
      </c>
      <c r="H7" s="5">
        <v>349155</v>
      </c>
      <c r="I7" s="4">
        <v>172</v>
      </c>
      <c r="J7" s="4">
        <v>0.97</v>
      </c>
      <c r="K7" s="4">
        <v>6.29</v>
      </c>
      <c r="L7" s="4">
        <v>1.2</v>
      </c>
      <c r="M7" s="4">
        <v>6</v>
      </c>
      <c r="N7" s="4">
        <v>687</v>
      </c>
      <c r="O7" s="4" t="str">
        <f t="shared" si="0"/>
        <v>EMI</v>
      </c>
      <c r="P7" s="5">
        <f t="shared" si="1"/>
        <v>119986.768</v>
      </c>
      <c r="Q7" s="1"/>
      <c r="R7" s="1">
        <v>632753</v>
      </c>
      <c r="S7" s="6">
        <f>SUM(Table1[[#Headers],[#Data],[price_inr]])</f>
        <v>734746392</v>
      </c>
      <c r="T7" s="7">
        <f>SUM(Table1[[#Headers],[#Data],[marketing_spend_inr]])</f>
        <v>344799370</v>
      </c>
      <c r="U7" s="8">
        <f>AVERAGE(Table1[[#Headers],[#Data],[dealership_count]])</f>
        <v>183.50697292863003</v>
      </c>
    </row>
    <row r="8" spans="1:21" x14ac:dyDescent="0.25">
      <c r="A8" s="4">
        <v>2021</v>
      </c>
      <c r="B8" s="4">
        <v>4</v>
      </c>
      <c r="C8" s="4" t="s">
        <v>19</v>
      </c>
      <c r="D8" s="4" t="s">
        <v>27</v>
      </c>
      <c r="E8" s="4" t="s">
        <v>17</v>
      </c>
      <c r="F8" s="4" t="s">
        <v>25</v>
      </c>
      <c r="G8" s="5">
        <v>51626</v>
      </c>
      <c r="H8" s="5">
        <v>405398</v>
      </c>
      <c r="I8" s="4">
        <v>165</v>
      </c>
      <c r="J8" s="4">
        <v>0.97</v>
      </c>
      <c r="K8" s="4">
        <v>6.29</v>
      </c>
      <c r="L8" s="4">
        <v>1.2</v>
      </c>
      <c r="M8" s="4">
        <v>3</v>
      </c>
      <c r="N8" s="4">
        <v>489</v>
      </c>
      <c r="O8" s="4" t="str">
        <f t="shared" si="0"/>
        <v>EMI</v>
      </c>
      <c r="P8" s="5">
        <f t="shared" si="1"/>
        <v>52245.512000000002</v>
      </c>
      <c r="Q8" s="5"/>
    </row>
    <row r="9" spans="1:21" x14ac:dyDescent="0.25">
      <c r="A9" s="4">
        <v>2022</v>
      </c>
      <c r="B9" s="4">
        <v>5</v>
      </c>
      <c r="C9" s="4" t="s">
        <v>28</v>
      </c>
      <c r="D9" s="4" t="s">
        <v>29</v>
      </c>
      <c r="E9" s="4" t="s">
        <v>17</v>
      </c>
      <c r="F9" s="4" t="s">
        <v>15</v>
      </c>
      <c r="G9" s="5">
        <v>42130</v>
      </c>
      <c r="H9" s="5">
        <v>487480</v>
      </c>
      <c r="I9" s="4">
        <v>11</v>
      </c>
      <c r="J9" s="4">
        <v>0.97</v>
      </c>
      <c r="K9" s="4">
        <v>6.29</v>
      </c>
      <c r="L9" s="4">
        <v>1.2</v>
      </c>
      <c r="M9" s="4">
        <v>4</v>
      </c>
      <c r="N9" s="4">
        <v>435</v>
      </c>
      <c r="O9" s="4" t="str">
        <f t="shared" si="0"/>
        <v>EMI</v>
      </c>
      <c r="P9" s="5">
        <f t="shared" si="1"/>
        <v>42635.56</v>
      </c>
    </row>
    <row r="10" spans="1:21" x14ac:dyDescent="0.25">
      <c r="A10" s="4">
        <v>2019</v>
      </c>
      <c r="B10" s="4">
        <v>8</v>
      </c>
      <c r="C10" s="4" t="s">
        <v>30</v>
      </c>
      <c r="D10" s="4" t="s">
        <v>31</v>
      </c>
      <c r="E10" s="4" t="s">
        <v>14</v>
      </c>
      <c r="F10" s="4" t="s">
        <v>15</v>
      </c>
      <c r="G10" s="5">
        <v>41828</v>
      </c>
      <c r="H10" s="5">
        <v>92317</v>
      </c>
      <c r="I10" s="4">
        <v>359</v>
      </c>
      <c r="J10" s="4">
        <v>0.97</v>
      </c>
      <c r="K10" s="4">
        <v>6.29</v>
      </c>
      <c r="L10" s="4">
        <v>1.2</v>
      </c>
      <c r="M10" s="4">
        <v>10</v>
      </c>
      <c r="N10" s="4">
        <v>1080</v>
      </c>
      <c r="O10" s="4" t="str">
        <f t="shared" si="0"/>
        <v>EMI</v>
      </c>
      <c r="P10" s="5">
        <f t="shared" si="1"/>
        <v>42329.936000000002</v>
      </c>
    </row>
    <row r="11" spans="1:21" x14ac:dyDescent="0.25">
      <c r="A11" s="4">
        <v>2018</v>
      </c>
      <c r="B11" s="4">
        <v>5</v>
      </c>
      <c r="C11" s="4" t="s">
        <v>30</v>
      </c>
      <c r="D11" s="4" t="s">
        <v>20</v>
      </c>
      <c r="E11" s="4" t="s">
        <v>18</v>
      </c>
      <c r="F11" s="4" t="s">
        <v>18</v>
      </c>
      <c r="G11" s="5">
        <v>92514</v>
      </c>
      <c r="H11" s="5">
        <v>228986</v>
      </c>
      <c r="I11" s="4">
        <v>178</v>
      </c>
      <c r="J11" s="4">
        <v>0.97</v>
      </c>
      <c r="K11" s="4">
        <v>6.29</v>
      </c>
      <c r="L11" s="4">
        <v>1.2</v>
      </c>
      <c r="M11" s="4">
        <v>2</v>
      </c>
      <c r="N11" s="4">
        <v>447</v>
      </c>
      <c r="O11" s="4" t="str">
        <f t="shared" si="0"/>
        <v>Full</v>
      </c>
      <c r="P11" s="5">
        <f t="shared" si="1"/>
        <v>92514</v>
      </c>
    </row>
    <row r="12" spans="1:21" x14ac:dyDescent="0.25">
      <c r="A12" s="4">
        <v>2022</v>
      </c>
      <c r="B12" s="4">
        <v>8</v>
      </c>
      <c r="C12" s="4" t="s">
        <v>23</v>
      </c>
      <c r="D12" s="4" t="s">
        <v>32</v>
      </c>
      <c r="E12" s="4" t="s">
        <v>18</v>
      </c>
      <c r="F12" s="4" t="s">
        <v>21</v>
      </c>
      <c r="G12" s="5">
        <v>87664</v>
      </c>
      <c r="H12" s="5">
        <v>265705</v>
      </c>
      <c r="I12" s="4">
        <v>324</v>
      </c>
      <c r="J12" s="4">
        <v>0.97</v>
      </c>
      <c r="K12" s="4">
        <v>6.29</v>
      </c>
      <c r="L12" s="4">
        <v>1.2</v>
      </c>
      <c r="M12" s="4">
        <v>2</v>
      </c>
      <c r="N12" s="4">
        <v>827</v>
      </c>
      <c r="O12" s="4" t="str">
        <f t="shared" si="0"/>
        <v>Full</v>
      </c>
      <c r="P12" s="5">
        <f t="shared" si="1"/>
        <v>87664</v>
      </c>
      <c r="R12" s="3">
        <f>AVERAGE(Table1[[#Headers],[#Data],[price_inr]])</f>
        <v>602745.19442165713</v>
      </c>
    </row>
    <row r="13" spans="1:21" x14ac:dyDescent="0.25">
      <c r="A13" s="4">
        <v>2022</v>
      </c>
      <c r="B13" s="4">
        <v>10</v>
      </c>
      <c r="C13" s="4" t="s">
        <v>33</v>
      </c>
      <c r="D13" s="4" t="s">
        <v>32</v>
      </c>
      <c r="E13" s="4" t="s">
        <v>18</v>
      </c>
      <c r="F13" s="4" t="s">
        <v>25</v>
      </c>
      <c r="G13" s="5">
        <v>52883</v>
      </c>
      <c r="H13" s="5">
        <v>414633</v>
      </c>
      <c r="I13" s="4">
        <v>334</v>
      </c>
      <c r="J13" s="4">
        <v>0.97</v>
      </c>
      <c r="K13" s="4">
        <v>6.29</v>
      </c>
      <c r="L13" s="4">
        <v>1.2</v>
      </c>
      <c r="M13" s="4">
        <v>8</v>
      </c>
      <c r="N13" s="4">
        <v>712</v>
      </c>
      <c r="O13" s="4" t="str">
        <f t="shared" si="0"/>
        <v>EMI</v>
      </c>
      <c r="P13" s="5">
        <f t="shared" si="1"/>
        <v>53517.595999999998</v>
      </c>
      <c r="R13" s="3">
        <f>MAX(Table1[[#Headers],[#Data],[price_inr]])</f>
        <v>4972987</v>
      </c>
    </row>
    <row r="14" spans="1:21" x14ac:dyDescent="0.25">
      <c r="A14" s="4">
        <v>2017</v>
      </c>
      <c r="B14" s="4">
        <v>1</v>
      </c>
      <c r="C14" s="4" t="s">
        <v>34</v>
      </c>
      <c r="D14" s="4" t="s">
        <v>32</v>
      </c>
      <c r="E14" s="4" t="s">
        <v>14</v>
      </c>
      <c r="F14" s="4" t="s">
        <v>18</v>
      </c>
      <c r="G14" s="5">
        <v>78059</v>
      </c>
      <c r="H14" s="5">
        <v>226326</v>
      </c>
      <c r="I14" s="4">
        <v>384</v>
      </c>
      <c r="J14" s="4">
        <v>0.97</v>
      </c>
      <c r="K14" s="4">
        <v>6.29</v>
      </c>
      <c r="L14" s="4">
        <v>1.2</v>
      </c>
      <c r="M14" s="4">
        <v>8</v>
      </c>
      <c r="N14" s="4">
        <v>1181</v>
      </c>
      <c r="O14" s="4" t="str">
        <f t="shared" si="0"/>
        <v>EMI</v>
      </c>
      <c r="P14" s="5">
        <f t="shared" si="1"/>
        <v>78995.707999999999</v>
      </c>
      <c r="R14" s="3">
        <f>MIN(Table1[[#Headers],[#Data],[price_inr]])</f>
        <v>35060</v>
      </c>
    </row>
    <row r="15" spans="1:21" x14ac:dyDescent="0.25">
      <c r="A15" s="4">
        <v>2020</v>
      </c>
      <c r="B15" s="4">
        <v>12</v>
      </c>
      <c r="C15" s="4" t="s">
        <v>34</v>
      </c>
      <c r="D15" s="4" t="s">
        <v>13</v>
      </c>
      <c r="E15" s="4" t="s">
        <v>18</v>
      </c>
      <c r="F15" s="4" t="s">
        <v>15</v>
      </c>
      <c r="G15" s="5">
        <v>119078</v>
      </c>
      <c r="H15" s="5">
        <v>352240</v>
      </c>
      <c r="I15" s="4">
        <v>101</v>
      </c>
      <c r="J15" s="4">
        <v>0.97</v>
      </c>
      <c r="K15" s="4">
        <v>6.29</v>
      </c>
      <c r="L15" s="4">
        <v>1.2</v>
      </c>
      <c r="M15" s="4">
        <v>10</v>
      </c>
      <c r="N15" s="4">
        <v>307</v>
      </c>
      <c r="O15" s="4" t="str">
        <f t="shared" si="0"/>
        <v>EMI</v>
      </c>
      <c r="P15" s="5">
        <f t="shared" si="1"/>
        <v>120506.936</v>
      </c>
      <c r="R15" s="3">
        <f>_xlfn.STDEV.P(Table1[[#Headers],[#Data],[price_inr]])</f>
        <v>1232597.4812600208</v>
      </c>
    </row>
    <row r="16" spans="1:21" x14ac:dyDescent="0.25">
      <c r="A16" s="4">
        <v>2019</v>
      </c>
      <c r="B16" s="4">
        <v>10</v>
      </c>
      <c r="C16" s="4" t="s">
        <v>35</v>
      </c>
      <c r="D16" s="4" t="s">
        <v>32</v>
      </c>
      <c r="E16" s="4" t="s">
        <v>18</v>
      </c>
      <c r="F16" s="4" t="s">
        <v>15</v>
      </c>
      <c r="G16" s="5">
        <v>77932</v>
      </c>
      <c r="H16" s="5">
        <v>365929</v>
      </c>
      <c r="I16" s="4">
        <v>190</v>
      </c>
      <c r="J16" s="4">
        <v>0.97</v>
      </c>
      <c r="K16" s="4">
        <v>6.29</v>
      </c>
      <c r="L16" s="4">
        <v>1.2</v>
      </c>
      <c r="M16" s="4">
        <v>6</v>
      </c>
      <c r="N16" s="4">
        <v>725</v>
      </c>
      <c r="O16" s="4" t="str">
        <f t="shared" si="0"/>
        <v>EMI</v>
      </c>
      <c r="P16" s="5">
        <f t="shared" si="1"/>
        <v>78867.183999999994</v>
      </c>
    </row>
    <row r="17" spans="1:18" x14ac:dyDescent="0.25">
      <c r="A17" s="4">
        <v>2016</v>
      </c>
      <c r="B17" s="4">
        <v>9</v>
      </c>
      <c r="C17" s="4" t="s">
        <v>23</v>
      </c>
      <c r="D17" s="4" t="s">
        <v>31</v>
      </c>
      <c r="E17" s="4" t="s">
        <v>14</v>
      </c>
      <c r="F17" s="4" t="s">
        <v>21</v>
      </c>
      <c r="G17" s="5">
        <v>96269</v>
      </c>
      <c r="H17" s="5">
        <v>102344</v>
      </c>
      <c r="I17" s="4">
        <v>240</v>
      </c>
      <c r="J17" s="4">
        <v>0.97</v>
      </c>
      <c r="K17" s="4">
        <v>6.29</v>
      </c>
      <c r="L17" s="4">
        <v>1.2</v>
      </c>
      <c r="M17" s="4">
        <v>5</v>
      </c>
      <c r="N17" s="4">
        <v>588</v>
      </c>
      <c r="O17" s="4" t="str">
        <f t="shared" si="0"/>
        <v>EMI</v>
      </c>
      <c r="P17" s="5">
        <f t="shared" si="1"/>
        <v>97424.228000000003</v>
      </c>
    </row>
    <row r="18" spans="1:18" x14ac:dyDescent="0.25">
      <c r="A18" s="4">
        <v>2022</v>
      </c>
      <c r="B18" s="4">
        <v>6</v>
      </c>
      <c r="C18" s="4" t="s">
        <v>19</v>
      </c>
      <c r="D18" s="4" t="s">
        <v>29</v>
      </c>
      <c r="E18" s="4" t="s">
        <v>17</v>
      </c>
      <c r="F18" s="4" t="s">
        <v>21</v>
      </c>
      <c r="G18" s="5">
        <v>110986</v>
      </c>
      <c r="H18" s="5">
        <v>296060</v>
      </c>
      <c r="I18" s="4">
        <v>310</v>
      </c>
      <c r="J18" s="4">
        <v>0.97</v>
      </c>
      <c r="K18" s="4">
        <v>6.29</v>
      </c>
      <c r="L18" s="4">
        <v>1.2</v>
      </c>
      <c r="M18" s="4">
        <v>8</v>
      </c>
      <c r="N18" s="4">
        <v>644</v>
      </c>
      <c r="O18" s="4" t="str">
        <f t="shared" si="0"/>
        <v>EMI</v>
      </c>
      <c r="P18" s="5">
        <f t="shared" si="1"/>
        <v>112317.83199999999</v>
      </c>
    </row>
    <row r="19" spans="1:18" x14ac:dyDescent="0.25">
      <c r="A19" s="4">
        <v>2020</v>
      </c>
      <c r="B19" s="4">
        <v>3</v>
      </c>
      <c r="C19" s="4" t="s">
        <v>23</v>
      </c>
      <c r="D19" s="4" t="s">
        <v>32</v>
      </c>
      <c r="E19" s="4" t="s">
        <v>17</v>
      </c>
      <c r="F19" s="4" t="s">
        <v>21</v>
      </c>
      <c r="G19" s="5">
        <v>37035</v>
      </c>
      <c r="H19" s="5">
        <v>432526</v>
      </c>
      <c r="I19" s="4">
        <v>157</v>
      </c>
      <c r="J19" s="4">
        <v>0.97</v>
      </c>
      <c r="K19" s="4">
        <v>6.29</v>
      </c>
      <c r="L19" s="4">
        <v>1.2</v>
      </c>
      <c r="M19" s="4">
        <v>4</v>
      </c>
      <c r="N19" s="4">
        <v>534</v>
      </c>
      <c r="O19" s="4" t="str">
        <f t="shared" si="0"/>
        <v>EMI</v>
      </c>
      <c r="P19" s="5">
        <f t="shared" si="1"/>
        <v>37479.42</v>
      </c>
    </row>
    <row r="20" spans="1:18" x14ac:dyDescent="0.25">
      <c r="A20" s="4">
        <v>2016</v>
      </c>
      <c r="B20" s="4">
        <v>8</v>
      </c>
      <c r="C20" s="4" t="s">
        <v>23</v>
      </c>
      <c r="D20" s="4" t="s">
        <v>22</v>
      </c>
      <c r="E20" s="4" t="s">
        <v>14</v>
      </c>
      <c r="F20" s="4" t="s">
        <v>18</v>
      </c>
      <c r="G20" s="5">
        <v>75745</v>
      </c>
      <c r="H20" s="5">
        <v>249618</v>
      </c>
      <c r="I20" s="4">
        <v>289</v>
      </c>
      <c r="J20" s="4">
        <v>0.97</v>
      </c>
      <c r="K20" s="4">
        <v>6.29</v>
      </c>
      <c r="L20" s="4">
        <v>1.2</v>
      </c>
      <c r="M20" s="4">
        <v>4</v>
      </c>
      <c r="N20" s="4">
        <v>1004</v>
      </c>
      <c r="O20" s="4" t="str">
        <f t="shared" si="0"/>
        <v>EMI</v>
      </c>
      <c r="P20" s="5">
        <f t="shared" si="1"/>
        <v>76653.94</v>
      </c>
    </row>
    <row r="21" spans="1:18" x14ac:dyDescent="0.25">
      <c r="A21" s="4">
        <v>2019</v>
      </c>
      <c r="B21" s="4">
        <v>9</v>
      </c>
      <c r="C21" s="4" t="s">
        <v>23</v>
      </c>
      <c r="D21" s="4" t="s">
        <v>22</v>
      </c>
      <c r="E21" s="4" t="s">
        <v>18</v>
      </c>
      <c r="F21" s="4" t="s">
        <v>15</v>
      </c>
      <c r="G21" s="5">
        <v>52241</v>
      </c>
      <c r="H21" s="5">
        <v>209484</v>
      </c>
      <c r="I21" s="4">
        <v>198</v>
      </c>
      <c r="J21" s="4">
        <v>0.97</v>
      </c>
      <c r="K21" s="4">
        <v>6.29</v>
      </c>
      <c r="L21" s="4">
        <v>1.2</v>
      </c>
      <c r="M21" s="4">
        <v>5</v>
      </c>
      <c r="N21" s="4">
        <v>544</v>
      </c>
      <c r="O21" s="4" t="str">
        <f t="shared" si="0"/>
        <v>EMI</v>
      </c>
      <c r="P21" s="5">
        <f t="shared" si="1"/>
        <v>52867.892</v>
      </c>
    </row>
    <row r="22" spans="1:18" x14ac:dyDescent="0.25">
      <c r="A22" s="4">
        <v>2015</v>
      </c>
      <c r="B22" s="4">
        <v>6</v>
      </c>
      <c r="C22" s="4" t="s">
        <v>30</v>
      </c>
      <c r="D22" s="4" t="s">
        <v>13</v>
      </c>
      <c r="E22" s="4" t="s">
        <v>14</v>
      </c>
      <c r="F22" s="4" t="s">
        <v>15</v>
      </c>
      <c r="G22" s="5">
        <v>87975</v>
      </c>
      <c r="H22" s="5">
        <v>160489</v>
      </c>
      <c r="I22" s="4">
        <v>356</v>
      </c>
      <c r="J22" s="4">
        <v>0.97</v>
      </c>
      <c r="K22" s="4">
        <v>6.29</v>
      </c>
      <c r="L22" s="4">
        <v>1.2</v>
      </c>
      <c r="M22" s="4">
        <v>1</v>
      </c>
      <c r="N22" s="4">
        <v>751</v>
      </c>
      <c r="O22" s="4" t="str">
        <f t="shared" si="0"/>
        <v>Full</v>
      </c>
      <c r="P22" s="5">
        <f t="shared" si="1"/>
        <v>87975</v>
      </c>
    </row>
    <row r="23" spans="1:18" x14ac:dyDescent="0.25">
      <c r="A23" s="4">
        <v>2024</v>
      </c>
      <c r="B23" s="4">
        <v>11</v>
      </c>
      <c r="C23" s="4" t="s">
        <v>23</v>
      </c>
      <c r="D23" s="4" t="s">
        <v>31</v>
      </c>
      <c r="E23" s="4" t="s">
        <v>17</v>
      </c>
      <c r="F23" s="4" t="s">
        <v>21</v>
      </c>
      <c r="G23" s="5">
        <v>58154</v>
      </c>
      <c r="H23" s="5">
        <v>494874</v>
      </c>
      <c r="I23" s="4">
        <v>359</v>
      </c>
      <c r="J23" s="4">
        <v>0.97</v>
      </c>
      <c r="K23" s="4">
        <v>6.29</v>
      </c>
      <c r="L23" s="4">
        <v>1.2</v>
      </c>
      <c r="M23" s="4">
        <v>1</v>
      </c>
      <c r="N23" s="4">
        <v>1061</v>
      </c>
      <c r="O23" s="4" t="str">
        <f t="shared" si="0"/>
        <v>Discount</v>
      </c>
      <c r="P23" s="5">
        <f t="shared" si="1"/>
        <v>52338.6</v>
      </c>
      <c r="R23" s="11"/>
    </row>
    <row r="24" spans="1:18" x14ac:dyDescent="0.25">
      <c r="A24" s="4">
        <v>2020</v>
      </c>
      <c r="B24" s="4">
        <v>7</v>
      </c>
      <c r="C24" s="4" t="s">
        <v>26</v>
      </c>
      <c r="D24" s="4" t="s">
        <v>29</v>
      </c>
      <c r="E24" s="4" t="s">
        <v>17</v>
      </c>
      <c r="F24" s="4" t="s">
        <v>25</v>
      </c>
      <c r="G24" s="5">
        <v>60625</v>
      </c>
      <c r="H24" s="5">
        <v>492765</v>
      </c>
      <c r="I24" s="4">
        <v>323</v>
      </c>
      <c r="J24" s="4">
        <v>0.97</v>
      </c>
      <c r="K24" s="4">
        <v>6.29</v>
      </c>
      <c r="L24" s="4">
        <v>1.2</v>
      </c>
      <c r="M24" s="4">
        <v>2</v>
      </c>
      <c r="N24" s="4">
        <v>954</v>
      </c>
      <c r="O24" s="4" t="str">
        <f t="shared" si="0"/>
        <v>Discount</v>
      </c>
      <c r="P24" s="5">
        <f t="shared" si="1"/>
        <v>54562.5</v>
      </c>
      <c r="R24" s="11"/>
    </row>
    <row r="25" spans="1:18" x14ac:dyDescent="0.25">
      <c r="A25" s="4">
        <v>2023</v>
      </c>
      <c r="B25" s="4">
        <v>1</v>
      </c>
      <c r="C25" s="4" t="s">
        <v>34</v>
      </c>
      <c r="D25" s="4" t="s">
        <v>20</v>
      </c>
      <c r="E25" s="4" t="s">
        <v>14</v>
      </c>
      <c r="F25" s="4" t="s">
        <v>21</v>
      </c>
      <c r="G25" s="5">
        <v>79950</v>
      </c>
      <c r="H25" s="5">
        <v>308667</v>
      </c>
      <c r="I25" s="4">
        <v>137</v>
      </c>
      <c r="J25" s="4">
        <v>0.97</v>
      </c>
      <c r="K25" s="4">
        <v>6.29</v>
      </c>
      <c r="L25" s="4">
        <v>1.2</v>
      </c>
      <c r="M25" s="4">
        <v>8</v>
      </c>
      <c r="N25" s="4">
        <v>673</v>
      </c>
      <c r="O25" s="4" t="str">
        <f t="shared" si="0"/>
        <v>EMI</v>
      </c>
      <c r="P25" s="5">
        <f t="shared" si="1"/>
        <v>80909.399999999994</v>
      </c>
      <c r="R25" s="11"/>
    </row>
    <row r="26" spans="1:18" x14ac:dyDescent="0.25">
      <c r="A26" s="4">
        <v>2015</v>
      </c>
      <c r="B26" s="4">
        <v>5</v>
      </c>
      <c r="C26" s="4" t="s">
        <v>35</v>
      </c>
      <c r="D26" s="4" t="s">
        <v>16</v>
      </c>
      <c r="E26" s="4" t="s">
        <v>14</v>
      </c>
      <c r="F26" s="4" t="s">
        <v>18</v>
      </c>
      <c r="G26" s="5">
        <v>91396</v>
      </c>
      <c r="H26" s="5">
        <v>61549</v>
      </c>
      <c r="I26" s="4">
        <v>16</v>
      </c>
      <c r="J26" s="4">
        <v>0.97</v>
      </c>
      <c r="K26" s="4">
        <v>6.29</v>
      </c>
      <c r="L26" s="4">
        <v>1.2</v>
      </c>
      <c r="M26" s="4">
        <v>7</v>
      </c>
      <c r="N26" s="4">
        <v>15</v>
      </c>
      <c r="O26" s="4" t="str">
        <f t="shared" si="0"/>
        <v>EMI</v>
      </c>
      <c r="P26" s="5">
        <f t="shared" si="1"/>
        <v>92492.752000000008</v>
      </c>
      <c r="R26" s="11"/>
    </row>
    <row r="27" spans="1:18" x14ac:dyDescent="0.25">
      <c r="A27" s="4">
        <v>2024</v>
      </c>
      <c r="B27" s="4">
        <v>5</v>
      </c>
      <c r="C27" s="4" t="s">
        <v>26</v>
      </c>
      <c r="D27" s="4" t="s">
        <v>29</v>
      </c>
      <c r="E27" s="4" t="s">
        <v>17</v>
      </c>
      <c r="F27" s="4" t="s">
        <v>21</v>
      </c>
      <c r="G27" s="5">
        <v>48331</v>
      </c>
      <c r="H27" s="5">
        <v>75739</v>
      </c>
      <c r="I27" s="4">
        <v>56</v>
      </c>
      <c r="J27" s="4">
        <v>0.97</v>
      </c>
      <c r="K27" s="4">
        <v>6.29</v>
      </c>
      <c r="L27" s="4">
        <v>1.2</v>
      </c>
      <c r="M27" s="4">
        <v>10</v>
      </c>
      <c r="N27" s="4">
        <v>107</v>
      </c>
      <c r="O27" s="4" t="str">
        <f t="shared" si="0"/>
        <v>EMI</v>
      </c>
      <c r="P27" s="5">
        <f t="shared" si="1"/>
        <v>48910.972000000002</v>
      </c>
      <c r="R27" s="11"/>
    </row>
    <row r="28" spans="1:18" x14ac:dyDescent="0.25">
      <c r="A28" s="4">
        <v>2017</v>
      </c>
      <c r="B28" s="4">
        <v>10</v>
      </c>
      <c r="C28" s="4" t="s">
        <v>35</v>
      </c>
      <c r="D28" s="4" t="s">
        <v>16</v>
      </c>
      <c r="E28" s="4" t="s">
        <v>14</v>
      </c>
      <c r="F28" s="4" t="s">
        <v>21</v>
      </c>
      <c r="G28" s="5">
        <v>98927</v>
      </c>
      <c r="H28" s="5">
        <v>333353</v>
      </c>
      <c r="I28" s="4">
        <v>62</v>
      </c>
      <c r="J28" s="4">
        <v>0.97</v>
      </c>
      <c r="K28" s="4">
        <v>6.29</v>
      </c>
      <c r="L28" s="4">
        <v>1.2</v>
      </c>
      <c r="M28" s="4">
        <v>9</v>
      </c>
      <c r="N28" s="4">
        <v>523</v>
      </c>
      <c r="O28" s="4" t="str">
        <f t="shared" si="0"/>
        <v>EMI</v>
      </c>
      <c r="P28" s="5">
        <f t="shared" si="1"/>
        <v>100114.124</v>
      </c>
      <c r="R28" s="11"/>
    </row>
    <row r="29" spans="1:18" x14ac:dyDescent="0.25">
      <c r="A29" s="4">
        <v>2021</v>
      </c>
      <c r="B29" s="4">
        <v>4</v>
      </c>
      <c r="C29" s="4" t="s">
        <v>28</v>
      </c>
      <c r="D29" s="4" t="s">
        <v>27</v>
      </c>
      <c r="E29" s="4" t="s">
        <v>17</v>
      </c>
      <c r="F29" s="4" t="s">
        <v>18</v>
      </c>
      <c r="G29" s="5">
        <v>119719</v>
      </c>
      <c r="H29" s="5">
        <v>157051</v>
      </c>
      <c r="I29" s="4">
        <v>196</v>
      </c>
      <c r="J29" s="4">
        <v>0.97</v>
      </c>
      <c r="K29" s="4">
        <v>6.29</v>
      </c>
      <c r="L29" s="4">
        <v>1.2</v>
      </c>
      <c r="M29" s="4">
        <v>5</v>
      </c>
      <c r="N29" s="4">
        <v>782</v>
      </c>
      <c r="O29" s="4" t="str">
        <f t="shared" si="0"/>
        <v>EMI</v>
      </c>
      <c r="P29" s="5">
        <f t="shared" si="1"/>
        <v>121155.628</v>
      </c>
      <c r="R29" s="11"/>
    </row>
    <row r="30" spans="1:18" x14ac:dyDescent="0.25">
      <c r="A30" s="4">
        <v>2018</v>
      </c>
      <c r="B30" s="4">
        <v>6</v>
      </c>
      <c r="C30" s="4" t="s">
        <v>35</v>
      </c>
      <c r="D30" s="4" t="s">
        <v>16</v>
      </c>
      <c r="E30" s="4" t="s">
        <v>14</v>
      </c>
      <c r="F30" s="4" t="s">
        <v>21</v>
      </c>
      <c r="G30" s="5">
        <v>98014</v>
      </c>
      <c r="H30" s="5">
        <v>65116</v>
      </c>
      <c r="I30" s="4">
        <v>47</v>
      </c>
      <c r="J30" s="4">
        <v>0.97</v>
      </c>
      <c r="K30" s="4">
        <v>6.29</v>
      </c>
      <c r="L30" s="4">
        <v>1.2</v>
      </c>
      <c r="M30" s="4">
        <v>2</v>
      </c>
      <c r="N30" s="4">
        <v>397</v>
      </c>
      <c r="O30" s="4" t="str">
        <f t="shared" si="0"/>
        <v>Full</v>
      </c>
      <c r="P30" s="5">
        <f t="shared" si="1"/>
        <v>98014</v>
      </c>
      <c r="R30" s="11"/>
    </row>
    <row r="31" spans="1:18" x14ac:dyDescent="0.25">
      <c r="A31" s="4">
        <v>2023</v>
      </c>
      <c r="B31" s="4">
        <v>7</v>
      </c>
      <c r="C31" s="4" t="s">
        <v>34</v>
      </c>
      <c r="D31" s="4" t="s">
        <v>24</v>
      </c>
      <c r="E31" s="4" t="s">
        <v>14</v>
      </c>
      <c r="F31" s="4" t="s">
        <v>15</v>
      </c>
      <c r="G31" s="5">
        <v>74346</v>
      </c>
      <c r="H31" s="5">
        <v>70045</v>
      </c>
      <c r="I31" s="4">
        <v>235</v>
      </c>
      <c r="J31" s="4">
        <v>0.97</v>
      </c>
      <c r="K31" s="4">
        <v>6.29</v>
      </c>
      <c r="L31" s="4">
        <v>1.2</v>
      </c>
      <c r="M31" s="4">
        <v>7</v>
      </c>
      <c r="N31" s="4">
        <v>773</v>
      </c>
      <c r="O31" s="4" t="str">
        <f t="shared" si="0"/>
        <v>EMI</v>
      </c>
      <c r="P31" s="5">
        <f t="shared" si="1"/>
        <v>75238.152000000002</v>
      </c>
      <c r="R31" s="11"/>
    </row>
    <row r="32" spans="1:18" x14ac:dyDescent="0.25">
      <c r="A32" s="4">
        <v>2017</v>
      </c>
      <c r="B32" s="4">
        <v>9</v>
      </c>
      <c r="C32" s="4" t="s">
        <v>34</v>
      </c>
      <c r="D32" s="4" t="s">
        <v>22</v>
      </c>
      <c r="E32" s="4" t="s">
        <v>14</v>
      </c>
      <c r="F32" s="4" t="s">
        <v>25</v>
      </c>
      <c r="G32" s="5">
        <v>105411</v>
      </c>
      <c r="H32" s="5">
        <v>469543</v>
      </c>
      <c r="I32" s="4">
        <v>62</v>
      </c>
      <c r="J32" s="4">
        <v>0.97</v>
      </c>
      <c r="K32" s="4">
        <v>6.29</v>
      </c>
      <c r="L32" s="4">
        <v>1.2</v>
      </c>
      <c r="M32" s="4">
        <v>8</v>
      </c>
      <c r="N32" s="4">
        <v>179</v>
      </c>
      <c r="O32" s="4" t="str">
        <f t="shared" si="0"/>
        <v>EMI</v>
      </c>
      <c r="P32" s="5">
        <f t="shared" si="1"/>
        <v>106675.932</v>
      </c>
      <c r="R32" s="11"/>
    </row>
    <row r="33" spans="1:16" x14ac:dyDescent="0.25">
      <c r="A33" s="4">
        <v>2019</v>
      </c>
      <c r="B33" s="4">
        <v>1</v>
      </c>
      <c r="C33" s="4" t="s">
        <v>23</v>
      </c>
      <c r="D33" s="4" t="s">
        <v>31</v>
      </c>
      <c r="E33" s="4" t="s">
        <v>17</v>
      </c>
      <c r="F33" s="4" t="s">
        <v>21</v>
      </c>
      <c r="G33" s="5">
        <v>89478</v>
      </c>
      <c r="H33" s="5">
        <v>85709</v>
      </c>
      <c r="I33" s="4">
        <v>233</v>
      </c>
      <c r="J33" s="4">
        <v>0.97</v>
      </c>
      <c r="K33" s="4">
        <v>6.29</v>
      </c>
      <c r="L33" s="4">
        <v>1.2</v>
      </c>
      <c r="M33" s="4">
        <v>7</v>
      </c>
      <c r="N33" s="4">
        <v>652</v>
      </c>
      <c r="O33" s="4" t="str">
        <f t="shared" si="0"/>
        <v>EMI</v>
      </c>
      <c r="P33" s="5">
        <f t="shared" si="1"/>
        <v>90551.736000000004</v>
      </c>
    </row>
    <row r="34" spans="1:16" x14ac:dyDescent="0.25">
      <c r="A34" s="4">
        <v>2017</v>
      </c>
      <c r="B34" s="4">
        <v>6</v>
      </c>
      <c r="C34" s="4" t="s">
        <v>36</v>
      </c>
      <c r="D34" s="4" t="s">
        <v>37</v>
      </c>
      <c r="E34" s="4" t="s">
        <v>14</v>
      </c>
      <c r="F34" s="4" t="s">
        <v>18</v>
      </c>
      <c r="G34" s="5">
        <v>47254</v>
      </c>
      <c r="H34" s="5">
        <v>355761</v>
      </c>
      <c r="I34" s="4">
        <v>163</v>
      </c>
      <c r="J34" s="4">
        <v>0.97</v>
      </c>
      <c r="K34" s="4">
        <v>6.29</v>
      </c>
      <c r="L34" s="4">
        <v>1.2</v>
      </c>
      <c r="M34" s="4">
        <v>7</v>
      </c>
      <c r="N34" s="4">
        <v>389</v>
      </c>
      <c r="O34" s="4" t="str">
        <f t="shared" si="0"/>
        <v>EMI</v>
      </c>
      <c r="P34" s="5">
        <f t="shared" si="1"/>
        <v>47821.048000000003</v>
      </c>
    </row>
    <row r="35" spans="1:16" x14ac:dyDescent="0.25">
      <c r="A35" s="4">
        <v>2021</v>
      </c>
      <c r="B35" s="4">
        <v>7</v>
      </c>
      <c r="C35" s="4" t="s">
        <v>28</v>
      </c>
      <c r="D35" s="4" t="s">
        <v>13</v>
      </c>
      <c r="E35" s="4" t="s">
        <v>17</v>
      </c>
      <c r="F35" s="4" t="s">
        <v>25</v>
      </c>
      <c r="G35" s="5">
        <v>90734</v>
      </c>
      <c r="H35" s="5">
        <v>207977</v>
      </c>
      <c r="I35" s="4">
        <v>57</v>
      </c>
      <c r="J35" s="4">
        <v>0.97</v>
      </c>
      <c r="K35" s="4">
        <v>6.29</v>
      </c>
      <c r="L35" s="4">
        <v>1.2</v>
      </c>
      <c r="M35" s="4">
        <v>5</v>
      </c>
      <c r="N35" s="4">
        <v>213</v>
      </c>
      <c r="O35" s="4" t="str">
        <f t="shared" si="0"/>
        <v>EMI</v>
      </c>
      <c r="P35" s="5">
        <f t="shared" si="1"/>
        <v>91822.808000000005</v>
      </c>
    </row>
    <row r="36" spans="1:16" x14ac:dyDescent="0.25">
      <c r="A36" s="4">
        <v>2019</v>
      </c>
      <c r="B36" s="4">
        <v>3</v>
      </c>
      <c r="C36" s="4" t="s">
        <v>19</v>
      </c>
      <c r="D36" s="4" t="s">
        <v>24</v>
      </c>
      <c r="E36" s="4" t="s">
        <v>17</v>
      </c>
      <c r="F36" s="4" t="s">
        <v>18</v>
      </c>
      <c r="G36" s="5">
        <v>63621</v>
      </c>
      <c r="H36" s="5">
        <v>253675</v>
      </c>
      <c r="I36" s="4">
        <v>360</v>
      </c>
      <c r="J36" s="4">
        <v>0.97</v>
      </c>
      <c r="K36" s="4">
        <v>6.29</v>
      </c>
      <c r="L36" s="4">
        <v>1.2</v>
      </c>
      <c r="M36" s="4">
        <v>2</v>
      </c>
      <c r="N36" s="4">
        <v>945</v>
      </c>
      <c r="O36" s="4" t="str">
        <f t="shared" si="0"/>
        <v>Full</v>
      </c>
      <c r="P36" s="5">
        <f t="shared" si="1"/>
        <v>63621</v>
      </c>
    </row>
    <row r="37" spans="1:16" x14ac:dyDescent="0.25">
      <c r="A37" s="4">
        <v>2023</v>
      </c>
      <c r="B37" s="4">
        <v>8</v>
      </c>
      <c r="C37" s="4" t="s">
        <v>12</v>
      </c>
      <c r="D37" s="4" t="s">
        <v>16</v>
      </c>
      <c r="E37" s="4" t="s">
        <v>14</v>
      </c>
      <c r="F37" s="4" t="s">
        <v>25</v>
      </c>
      <c r="G37" s="5">
        <v>111441</v>
      </c>
      <c r="H37" s="5">
        <v>279167</v>
      </c>
      <c r="I37" s="4">
        <v>156</v>
      </c>
      <c r="J37" s="4">
        <v>0.97</v>
      </c>
      <c r="K37" s="4">
        <v>6.29</v>
      </c>
      <c r="L37" s="4">
        <v>1.2</v>
      </c>
      <c r="M37" s="4">
        <v>6</v>
      </c>
      <c r="N37" s="4">
        <v>705</v>
      </c>
      <c r="O37" s="4" t="str">
        <f t="shared" si="0"/>
        <v>EMI</v>
      </c>
      <c r="P37" s="5">
        <f t="shared" si="1"/>
        <v>112778.292</v>
      </c>
    </row>
    <row r="38" spans="1:16" x14ac:dyDescent="0.25">
      <c r="A38" s="4">
        <v>2021</v>
      </c>
      <c r="B38" s="4">
        <v>5</v>
      </c>
      <c r="C38" s="4" t="s">
        <v>35</v>
      </c>
      <c r="D38" s="4" t="s">
        <v>32</v>
      </c>
      <c r="E38" s="4" t="s">
        <v>14</v>
      </c>
      <c r="F38" s="4" t="s">
        <v>25</v>
      </c>
      <c r="G38" s="5">
        <v>81121</v>
      </c>
      <c r="H38" s="5">
        <v>431923</v>
      </c>
      <c r="I38" s="4">
        <v>73</v>
      </c>
      <c r="J38" s="4">
        <v>0.97</v>
      </c>
      <c r="K38" s="4">
        <v>6.29</v>
      </c>
      <c r="L38" s="4">
        <v>1.2</v>
      </c>
      <c r="M38" s="4">
        <v>4</v>
      </c>
      <c r="N38" s="4">
        <v>368</v>
      </c>
      <c r="O38" s="4" t="str">
        <f t="shared" si="0"/>
        <v>EMI</v>
      </c>
      <c r="P38" s="5">
        <f t="shared" si="1"/>
        <v>82094.452000000005</v>
      </c>
    </row>
    <row r="39" spans="1:16" x14ac:dyDescent="0.25">
      <c r="A39" s="4">
        <v>2016</v>
      </c>
      <c r="B39" s="4">
        <v>9</v>
      </c>
      <c r="C39" s="4" t="s">
        <v>36</v>
      </c>
      <c r="D39" s="4" t="s">
        <v>31</v>
      </c>
      <c r="E39" s="4" t="s">
        <v>17</v>
      </c>
      <c r="F39" s="4" t="s">
        <v>21</v>
      </c>
      <c r="G39" s="5">
        <v>116418</v>
      </c>
      <c r="H39" s="5">
        <v>355063</v>
      </c>
      <c r="I39" s="4">
        <v>358</v>
      </c>
      <c r="J39" s="4">
        <v>0.97</v>
      </c>
      <c r="K39" s="4">
        <v>6.29</v>
      </c>
      <c r="L39" s="4">
        <v>1.2</v>
      </c>
      <c r="M39" s="4">
        <v>10</v>
      </c>
      <c r="N39" s="4">
        <v>743</v>
      </c>
      <c r="O39" s="4" t="str">
        <f t="shared" si="0"/>
        <v>EMI</v>
      </c>
      <c r="P39" s="5">
        <f t="shared" si="1"/>
        <v>117815.016</v>
      </c>
    </row>
    <row r="40" spans="1:16" x14ac:dyDescent="0.25">
      <c r="A40" s="4">
        <v>2018</v>
      </c>
      <c r="B40" s="4">
        <v>5</v>
      </c>
      <c r="C40" s="4" t="s">
        <v>23</v>
      </c>
      <c r="D40" s="4" t="s">
        <v>24</v>
      </c>
      <c r="E40" s="4" t="s">
        <v>17</v>
      </c>
      <c r="F40" s="4" t="s">
        <v>15</v>
      </c>
      <c r="G40" s="5">
        <v>95197</v>
      </c>
      <c r="H40" s="5">
        <v>395665</v>
      </c>
      <c r="I40" s="4">
        <v>191</v>
      </c>
      <c r="J40" s="4">
        <v>0.97</v>
      </c>
      <c r="K40" s="4">
        <v>6.29</v>
      </c>
      <c r="L40" s="4">
        <v>1.2</v>
      </c>
      <c r="M40" s="4">
        <v>2</v>
      </c>
      <c r="N40" s="4">
        <v>805</v>
      </c>
      <c r="O40" s="4" t="str">
        <f t="shared" si="0"/>
        <v>Discount</v>
      </c>
      <c r="P40" s="5">
        <f t="shared" si="1"/>
        <v>85677.3</v>
      </c>
    </row>
    <row r="41" spans="1:16" x14ac:dyDescent="0.25">
      <c r="A41" s="4">
        <v>2023</v>
      </c>
      <c r="B41" s="4">
        <v>9</v>
      </c>
      <c r="C41" s="12" t="s">
        <v>30</v>
      </c>
      <c r="D41" s="4" t="s">
        <v>13</v>
      </c>
      <c r="E41" s="4" t="s">
        <v>18</v>
      </c>
      <c r="F41" s="4" t="s">
        <v>21</v>
      </c>
      <c r="G41" s="5">
        <v>119577</v>
      </c>
      <c r="H41" s="5">
        <v>269222</v>
      </c>
      <c r="I41" s="4">
        <v>134</v>
      </c>
      <c r="J41" s="4">
        <v>0.97</v>
      </c>
      <c r="K41" s="4">
        <v>6.29</v>
      </c>
      <c r="L41" s="4">
        <v>1.2</v>
      </c>
      <c r="M41" s="4">
        <v>9</v>
      </c>
      <c r="N41" s="4">
        <v>380</v>
      </c>
      <c r="O41" s="4" t="str">
        <f t="shared" si="0"/>
        <v>EMI</v>
      </c>
      <c r="P41" s="5">
        <f t="shared" si="1"/>
        <v>121011.924</v>
      </c>
    </row>
    <row r="42" spans="1:16" x14ac:dyDescent="0.25">
      <c r="A42" s="4">
        <v>2016</v>
      </c>
      <c r="B42" s="4">
        <v>10</v>
      </c>
      <c r="C42" s="12" t="s">
        <v>19</v>
      </c>
      <c r="D42" s="4" t="s">
        <v>22</v>
      </c>
      <c r="E42" s="4" t="s">
        <v>17</v>
      </c>
      <c r="F42" s="4" t="s">
        <v>18</v>
      </c>
      <c r="G42" s="5">
        <v>77431</v>
      </c>
      <c r="H42" s="5">
        <v>239518</v>
      </c>
      <c r="I42" s="4">
        <v>188</v>
      </c>
      <c r="J42" s="4">
        <v>0.97</v>
      </c>
      <c r="K42" s="4">
        <v>6.29</v>
      </c>
      <c r="L42" s="4">
        <v>1.2</v>
      </c>
      <c r="M42" s="4">
        <v>7</v>
      </c>
      <c r="N42" s="4">
        <v>543</v>
      </c>
      <c r="O42" s="4" t="str">
        <f t="shared" si="0"/>
        <v>EMI</v>
      </c>
      <c r="P42" s="5">
        <f t="shared" si="1"/>
        <v>78360.172000000006</v>
      </c>
    </row>
    <row r="43" spans="1:16" x14ac:dyDescent="0.25">
      <c r="A43" s="4">
        <v>2024</v>
      </c>
      <c r="B43" s="4">
        <v>4</v>
      </c>
      <c r="C43" s="12" t="s">
        <v>33</v>
      </c>
      <c r="D43" s="4" t="s">
        <v>31</v>
      </c>
      <c r="E43" s="4" t="s">
        <v>18</v>
      </c>
      <c r="F43" s="4" t="s">
        <v>18</v>
      </c>
      <c r="G43" s="5">
        <v>39837</v>
      </c>
      <c r="H43" s="5">
        <v>233500</v>
      </c>
      <c r="I43" s="4">
        <v>48</v>
      </c>
      <c r="J43" s="4">
        <v>0.97</v>
      </c>
      <c r="K43" s="4">
        <v>6.29</v>
      </c>
      <c r="L43" s="4">
        <v>1.2</v>
      </c>
      <c r="M43" s="4">
        <v>6</v>
      </c>
      <c r="N43" s="4">
        <v>429</v>
      </c>
      <c r="O43" s="4" t="str">
        <f t="shared" si="0"/>
        <v>EMI</v>
      </c>
      <c r="P43" s="5">
        <f t="shared" si="1"/>
        <v>40315.044000000002</v>
      </c>
    </row>
    <row r="44" spans="1:16" x14ac:dyDescent="0.25">
      <c r="A44" s="4">
        <v>2023</v>
      </c>
      <c r="B44" s="4">
        <v>9</v>
      </c>
      <c r="C44" s="12" t="s">
        <v>36</v>
      </c>
      <c r="D44" s="4" t="s">
        <v>13</v>
      </c>
      <c r="E44" s="4" t="s">
        <v>18</v>
      </c>
      <c r="F44" s="4" t="s">
        <v>25</v>
      </c>
      <c r="G44" s="5">
        <v>118163</v>
      </c>
      <c r="H44" s="5">
        <v>491110</v>
      </c>
      <c r="I44" s="4">
        <v>269</v>
      </c>
      <c r="J44" s="4">
        <v>0.97</v>
      </c>
      <c r="K44" s="4">
        <v>6.29</v>
      </c>
      <c r="L44" s="4">
        <v>1.2</v>
      </c>
      <c r="M44" s="4">
        <v>5</v>
      </c>
      <c r="N44" s="4">
        <v>661</v>
      </c>
      <c r="O44" s="4" t="str">
        <f t="shared" si="0"/>
        <v>EMI</v>
      </c>
      <c r="P44" s="5">
        <f t="shared" si="1"/>
        <v>119580.95600000001</v>
      </c>
    </row>
    <row r="45" spans="1:16" x14ac:dyDescent="0.25">
      <c r="A45" s="4">
        <v>2024</v>
      </c>
      <c r="B45" s="4">
        <v>5</v>
      </c>
      <c r="C45" s="12" t="s">
        <v>30</v>
      </c>
      <c r="D45" s="4" t="s">
        <v>27</v>
      </c>
      <c r="E45" s="4" t="s">
        <v>18</v>
      </c>
      <c r="F45" s="4" t="s">
        <v>25</v>
      </c>
      <c r="G45" s="5">
        <v>106232</v>
      </c>
      <c r="H45" s="5">
        <v>318591</v>
      </c>
      <c r="I45" s="4">
        <v>391</v>
      </c>
      <c r="J45" s="4">
        <v>0.97</v>
      </c>
      <c r="K45" s="4">
        <v>6.29</v>
      </c>
      <c r="L45" s="4">
        <v>1.2</v>
      </c>
      <c r="M45" s="4">
        <v>3</v>
      </c>
      <c r="N45" s="4">
        <v>1001</v>
      </c>
      <c r="O45" s="4" t="str">
        <f t="shared" si="0"/>
        <v>EMI</v>
      </c>
      <c r="P45" s="5">
        <f t="shared" si="1"/>
        <v>107506.784</v>
      </c>
    </row>
    <row r="46" spans="1:16" x14ac:dyDescent="0.25">
      <c r="A46" s="4">
        <v>2019</v>
      </c>
      <c r="B46" s="4">
        <v>10</v>
      </c>
      <c r="C46" s="12" t="s">
        <v>28</v>
      </c>
      <c r="D46" s="4" t="s">
        <v>27</v>
      </c>
      <c r="E46" s="4" t="s">
        <v>14</v>
      </c>
      <c r="F46" s="4" t="s">
        <v>15</v>
      </c>
      <c r="G46" s="5">
        <v>83994</v>
      </c>
      <c r="H46" s="5">
        <v>55499</v>
      </c>
      <c r="I46" s="4">
        <v>12</v>
      </c>
      <c r="J46" s="4">
        <v>0.97</v>
      </c>
      <c r="K46" s="4">
        <v>6.29</v>
      </c>
      <c r="L46" s="4">
        <v>1.2</v>
      </c>
      <c r="M46" s="4">
        <v>10</v>
      </c>
      <c r="N46" s="4">
        <v>413</v>
      </c>
      <c r="O46" s="4" t="str">
        <f t="shared" si="0"/>
        <v>EMI</v>
      </c>
      <c r="P46" s="5">
        <f t="shared" si="1"/>
        <v>85001.928</v>
      </c>
    </row>
    <row r="47" spans="1:16" x14ac:dyDescent="0.25">
      <c r="A47" s="4">
        <v>2016</v>
      </c>
      <c r="B47" s="4">
        <v>9</v>
      </c>
      <c r="C47" s="12" t="s">
        <v>23</v>
      </c>
      <c r="D47" s="4" t="s">
        <v>13</v>
      </c>
      <c r="E47" s="4" t="s">
        <v>14</v>
      </c>
      <c r="F47" s="4" t="s">
        <v>21</v>
      </c>
      <c r="G47" s="5">
        <v>114079</v>
      </c>
      <c r="H47" s="5">
        <v>89041</v>
      </c>
      <c r="I47" s="4">
        <v>73</v>
      </c>
      <c r="J47" s="4">
        <v>0.97</v>
      </c>
      <c r="K47" s="4">
        <v>6.29</v>
      </c>
      <c r="L47" s="4">
        <v>1.2</v>
      </c>
      <c r="M47" s="4">
        <v>10</v>
      </c>
      <c r="N47" s="4">
        <v>396</v>
      </c>
      <c r="O47" s="4" t="str">
        <f t="shared" si="0"/>
        <v>EMI</v>
      </c>
      <c r="P47" s="5">
        <f t="shared" si="1"/>
        <v>115447.948</v>
      </c>
    </row>
    <row r="48" spans="1:16" x14ac:dyDescent="0.25">
      <c r="A48" s="4">
        <v>2018</v>
      </c>
      <c r="B48" s="4">
        <v>3</v>
      </c>
      <c r="C48" s="12" t="s">
        <v>19</v>
      </c>
      <c r="D48" s="4" t="s">
        <v>24</v>
      </c>
      <c r="E48" s="4" t="s">
        <v>17</v>
      </c>
      <c r="F48" s="4" t="s">
        <v>18</v>
      </c>
      <c r="G48" s="5">
        <v>47615</v>
      </c>
      <c r="H48" s="5">
        <v>343459</v>
      </c>
      <c r="I48" s="4">
        <v>38</v>
      </c>
      <c r="J48" s="4">
        <v>0.97</v>
      </c>
      <c r="K48" s="4">
        <v>6.29</v>
      </c>
      <c r="L48" s="4">
        <v>1.2</v>
      </c>
      <c r="M48" s="4">
        <v>4</v>
      </c>
      <c r="N48" s="4">
        <v>225</v>
      </c>
      <c r="O48" s="4" t="str">
        <f t="shared" si="0"/>
        <v>EMI</v>
      </c>
      <c r="P48" s="5">
        <f t="shared" si="1"/>
        <v>48186.38</v>
      </c>
    </row>
    <row r="49" spans="1:16" x14ac:dyDescent="0.25">
      <c r="A49" s="4">
        <v>2021</v>
      </c>
      <c r="B49" s="4">
        <v>4</v>
      </c>
      <c r="C49" s="12" t="s">
        <v>19</v>
      </c>
      <c r="D49" s="4" t="s">
        <v>31</v>
      </c>
      <c r="E49" s="4" t="s">
        <v>18</v>
      </c>
      <c r="F49" s="4" t="s">
        <v>25</v>
      </c>
      <c r="G49" s="5">
        <v>36466</v>
      </c>
      <c r="H49" s="5">
        <v>182371</v>
      </c>
      <c r="I49" s="4">
        <v>381</v>
      </c>
      <c r="J49" s="4">
        <v>0.97</v>
      </c>
      <c r="K49" s="4">
        <v>6.29</v>
      </c>
      <c r="L49" s="4">
        <v>1.2</v>
      </c>
      <c r="M49" s="4">
        <v>3</v>
      </c>
      <c r="N49" s="4">
        <v>992</v>
      </c>
      <c r="O49" s="4" t="str">
        <f t="shared" si="0"/>
        <v>EMI</v>
      </c>
      <c r="P49" s="5">
        <f t="shared" si="1"/>
        <v>36903.591999999997</v>
      </c>
    </row>
    <row r="50" spans="1:16" x14ac:dyDescent="0.25">
      <c r="A50" s="4">
        <v>2022</v>
      </c>
      <c r="B50" s="4">
        <v>9</v>
      </c>
      <c r="C50" s="12" t="s">
        <v>19</v>
      </c>
      <c r="D50" s="4" t="s">
        <v>24</v>
      </c>
      <c r="E50" s="4" t="s">
        <v>14</v>
      </c>
      <c r="F50" s="4" t="s">
        <v>15</v>
      </c>
      <c r="G50" s="5">
        <v>65771</v>
      </c>
      <c r="H50" s="5">
        <v>432650</v>
      </c>
      <c r="I50" s="4">
        <v>20</v>
      </c>
      <c r="J50" s="4">
        <v>0.97</v>
      </c>
      <c r="K50" s="4">
        <v>6.29</v>
      </c>
      <c r="L50" s="4">
        <v>1.2</v>
      </c>
      <c r="M50" s="4">
        <v>8</v>
      </c>
      <c r="N50" s="4">
        <v>476</v>
      </c>
      <c r="O50" s="4" t="str">
        <f t="shared" si="0"/>
        <v>EMI</v>
      </c>
      <c r="P50" s="5">
        <f t="shared" si="1"/>
        <v>66560.252000000008</v>
      </c>
    </row>
    <row r="51" spans="1:16" x14ac:dyDescent="0.25">
      <c r="A51" s="4">
        <v>2017</v>
      </c>
      <c r="B51" s="4">
        <v>10</v>
      </c>
      <c r="C51" s="12" t="s">
        <v>28</v>
      </c>
      <c r="D51" s="4" t="s">
        <v>20</v>
      </c>
      <c r="E51" s="4" t="s">
        <v>14</v>
      </c>
      <c r="F51" s="4" t="s">
        <v>18</v>
      </c>
      <c r="G51" s="5">
        <v>118886</v>
      </c>
      <c r="H51" s="5">
        <v>186066</v>
      </c>
      <c r="I51" s="4">
        <v>106</v>
      </c>
      <c r="J51" s="4">
        <v>0.97</v>
      </c>
      <c r="K51" s="4">
        <v>6.29</v>
      </c>
      <c r="L51" s="4">
        <v>1.2</v>
      </c>
      <c r="M51" s="4">
        <v>3</v>
      </c>
      <c r="N51" s="4">
        <v>357</v>
      </c>
      <c r="O51" s="4" t="str">
        <f t="shared" si="0"/>
        <v>EMI</v>
      </c>
      <c r="P51" s="5">
        <f t="shared" si="1"/>
        <v>120312.632</v>
      </c>
    </row>
    <row r="52" spans="1:16" x14ac:dyDescent="0.25">
      <c r="A52" s="4">
        <v>2015</v>
      </c>
      <c r="B52" s="4">
        <v>11</v>
      </c>
      <c r="C52" s="12" t="s">
        <v>35</v>
      </c>
      <c r="D52" s="4" t="s">
        <v>16</v>
      </c>
      <c r="E52" s="4" t="s">
        <v>14</v>
      </c>
      <c r="F52" s="4" t="s">
        <v>25</v>
      </c>
      <c r="G52" s="5">
        <v>100911</v>
      </c>
      <c r="H52" s="5">
        <v>276486</v>
      </c>
      <c r="I52" s="4">
        <v>367</v>
      </c>
      <c r="J52" s="4">
        <v>0.97</v>
      </c>
      <c r="K52" s="4">
        <v>6.29</v>
      </c>
      <c r="L52" s="4">
        <v>1.2</v>
      </c>
      <c r="M52" s="4">
        <v>7</v>
      </c>
      <c r="N52" s="4">
        <v>1145</v>
      </c>
      <c r="O52" s="4" t="str">
        <f t="shared" si="0"/>
        <v>EMI</v>
      </c>
      <c r="P52" s="5">
        <f t="shared" si="1"/>
        <v>102121.932</v>
      </c>
    </row>
    <row r="53" spans="1:16" x14ac:dyDescent="0.25">
      <c r="A53" s="4">
        <v>2018</v>
      </c>
      <c r="B53" s="4">
        <v>6</v>
      </c>
      <c r="C53" s="12" t="s">
        <v>33</v>
      </c>
      <c r="D53" s="4" t="s">
        <v>20</v>
      </c>
      <c r="E53" s="4" t="s">
        <v>14</v>
      </c>
      <c r="F53" s="4" t="s">
        <v>18</v>
      </c>
      <c r="G53" s="5">
        <v>55746</v>
      </c>
      <c r="H53" s="5">
        <v>262235</v>
      </c>
      <c r="I53" s="4">
        <v>212</v>
      </c>
      <c r="J53" s="4">
        <v>0.97</v>
      </c>
      <c r="K53" s="4">
        <v>6.29</v>
      </c>
      <c r="L53" s="4">
        <v>1.2</v>
      </c>
      <c r="M53" s="4">
        <v>7</v>
      </c>
      <c r="N53" s="4">
        <v>679</v>
      </c>
      <c r="O53" s="4" t="str">
        <f t="shared" si="0"/>
        <v>EMI</v>
      </c>
      <c r="P53" s="5">
        <f t="shared" si="1"/>
        <v>56414.951999999997</v>
      </c>
    </row>
    <row r="54" spans="1:16" x14ac:dyDescent="0.25">
      <c r="A54" s="4">
        <v>2016</v>
      </c>
      <c r="B54" s="4">
        <v>2</v>
      </c>
      <c r="C54" s="12" t="s">
        <v>28</v>
      </c>
      <c r="D54" s="4" t="s">
        <v>27</v>
      </c>
      <c r="E54" s="4" t="s">
        <v>14</v>
      </c>
      <c r="F54" s="4" t="s">
        <v>15</v>
      </c>
      <c r="G54" s="5">
        <v>95739</v>
      </c>
      <c r="H54" s="5">
        <v>307831</v>
      </c>
      <c r="I54" s="4">
        <v>30</v>
      </c>
      <c r="J54" s="4">
        <v>0.97</v>
      </c>
      <c r="K54" s="4">
        <v>6.29</v>
      </c>
      <c r="L54" s="4">
        <v>1.2</v>
      </c>
      <c r="M54" s="4">
        <v>7</v>
      </c>
      <c r="N54" s="4">
        <v>184</v>
      </c>
      <c r="O54" s="4" t="str">
        <f t="shared" si="0"/>
        <v>EMI</v>
      </c>
      <c r="P54" s="5">
        <f t="shared" si="1"/>
        <v>96887.868000000002</v>
      </c>
    </row>
    <row r="55" spans="1:16" x14ac:dyDescent="0.25">
      <c r="A55" s="4">
        <v>2022</v>
      </c>
      <c r="B55" s="4">
        <v>7</v>
      </c>
      <c r="C55" s="12" t="s">
        <v>12</v>
      </c>
      <c r="D55" s="4" t="s">
        <v>22</v>
      </c>
      <c r="E55" s="4" t="s">
        <v>18</v>
      </c>
      <c r="F55" s="4" t="s">
        <v>15</v>
      </c>
      <c r="G55" s="5">
        <v>108369</v>
      </c>
      <c r="H55" s="5">
        <v>450705</v>
      </c>
      <c r="I55" s="4">
        <v>48</v>
      </c>
      <c r="J55" s="4">
        <v>0.97</v>
      </c>
      <c r="K55" s="4">
        <v>6.29</v>
      </c>
      <c r="L55" s="4">
        <v>1.2</v>
      </c>
      <c r="M55" s="4">
        <v>7</v>
      </c>
      <c r="N55" s="4">
        <v>205</v>
      </c>
      <c r="O55" s="4" t="str">
        <f t="shared" si="0"/>
        <v>EMI</v>
      </c>
      <c r="P55" s="5">
        <f t="shared" si="1"/>
        <v>109669.428</v>
      </c>
    </row>
    <row r="56" spans="1:16" x14ac:dyDescent="0.25">
      <c r="A56" s="4">
        <v>2018</v>
      </c>
      <c r="B56" s="4">
        <v>2</v>
      </c>
      <c r="C56" s="12" t="s">
        <v>33</v>
      </c>
      <c r="D56" s="4" t="s">
        <v>29</v>
      </c>
      <c r="E56" s="4" t="s">
        <v>18</v>
      </c>
      <c r="F56" s="4" t="s">
        <v>18</v>
      </c>
      <c r="G56" s="5">
        <v>36893</v>
      </c>
      <c r="H56" s="5">
        <v>403791</v>
      </c>
      <c r="I56" s="4">
        <v>232</v>
      </c>
      <c r="J56" s="4">
        <v>0.97</v>
      </c>
      <c r="K56" s="4">
        <v>6.29</v>
      </c>
      <c r="L56" s="4">
        <v>1.2</v>
      </c>
      <c r="M56" s="4">
        <v>2</v>
      </c>
      <c r="N56" s="4">
        <v>534</v>
      </c>
      <c r="O56" s="4" t="str">
        <f t="shared" si="0"/>
        <v>Discount</v>
      </c>
      <c r="P56" s="5">
        <f t="shared" si="1"/>
        <v>33203.700000000004</v>
      </c>
    </row>
    <row r="57" spans="1:16" x14ac:dyDescent="0.25">
      <c r="A57" s="4">
        <v>2016</v>
      </c>
      <c r="B57" s="4">
        <v>11</v>
      </c>
      <c r="C57" s="12" t="s">
        <v>34</v>
      </c>
      <c r="D57" s="4" t="s">
        <v>16</v>
      </c>
      <c r="E57" s="4" t="s">
        <v>18</v>
      </c>
      <c r="F57" s="4" t="s">
        <v>21</v>
      </c>
      <c r="G57" s="5">
        <v>65573</v>
      </c>
      <c r="H57" s="5">
        <v>344499</v>
      </c>
      <c r="I57" s="4">
        <v>111</v>
      </c>
      <c r="J57" s="4">
        <v>0.97</v>
      </c>
      <c r="K57" s="4">
        <v>6.29</v>
      </c>
      <c r="L57" s="4">
        <v>1.2</v>
      </c>
      <c r="M57" s="4">
        <v>10</v>
      </c>
      <c r="N57" s="4">
        <v>578</v>
      </c>
      <c r="O57" s="4" t="str">
        <f t="shared" si="0"/>
        <v>EMI</v>
      </c>
      <c r="P57" s="5">
        <f t="shared" si="1"/>
        <v>66359.876000000004</v>
      </c>
    </row>
    <row r="58" spans="1:16" x14ac:dyDescent="0.25">
      <c r="A58" s="4">
        <v>2020</v>
      </c>
      <c r="B58" s="4">
        <v>2</v>
      </c>
      <c r="C58" s="12" t="s">
        <v>23</v>
      </c>
      <c r="D58" s="4" t="s">
        <v>27</v>
      </c>
      <c r="E58" s="4" t="s">
        <v>18</v>
      </c>
      <c r="F58" s="4" t="s">
        <v>18</v>
      </c>
      <c r="G58" s="5">
        <v>75874</v>
      </c>
      <c r="H58" s="5">
        <v>385949</v>
      </c>
      <c r="I58" s="4">
        <v>55</v>
      </c>
      <c r="J58" s="4">
        <v>0.97</v>
      </c>
      <c r="K58" s="4">
        <v>6.29</v>
      </c>
      <c r="L58" s="4">
        <v>1.2</v>
      </c>
      <c r="M58" s="4">
        <v>3</v>
      </c>
      <c r="N58" s="4">
        <v>292</v>
      </c>
      <c r="O58" s="4" t="str">
        <f t="shared" si="0"/>
        <v>EMI</v>
      </c>
      <c r="P58" s="5">
        <f t="shared" si="1"/>
        <v>76784.487999999998</v>
      </c>
    </row>
    <row r="59" spans="1:16" x14ac:dyDescent="0.25">
      <c r="A59" s="4">
        <v>2020</v>
      </c>
      <c r="B59" s="4">
        <v>11</v>
      </c>
      <c r="C59" s="12" t="s">
        <v>28</v>
      </c>
      <c r="D59" s="4" t="s">
        <v>24</v>
      </c>
      <c r="E59" s="4" t="s">
        <v>17</v>
      </c>
      <c r="F59" s="4" t="s">
        <v>25</v>
      </c>
      <c r="G59" s="5">
        <v>112362</v>
      </c>
      <c r="H59" s="5">
        <v>380511</v>
      </c>
      <c r="I59" s="4">
        <v>75</v>
      </c>
      <c r="J59" s="4">
        <v>0.97</v>
      </c>
      <c r="K59" s="4">
        <v>6.29</v>
      </c>
      <c r="L59" s="4">
        <v>1.2</v>
      </c>
      <c r="M59" s="4">
        <v>10</v>
      </c>
      <c r="N59" s="4">
        <v>495</v>
      </c>
      <c r="O59" s="4" t="str">
        <f t="shared" si="0"/>
        <v>EMI</v>
      </c>
      <c r="P59" s="5">
        <f t="shared" si="1"/>
        <v>113710.344</v>
      </c>
    </row>
    <row r="60" spans="1:16" x14ac:dyDescent="0.25">
      <c r="A60" s="4">
        <v>2024</v>
      </c>
      <c r="B60" s="4">
        <v>1</v>
      </c>
      <c r="C60" s="12" t="s">
        <v>30</v>
      </c>
      <c r="D60" s="4" t="s">
        <v>24</v>
      </c>
      <c r="E60" s="4" t="s">
        <v>18</v>
      </c>
      <c r="F60" s="4" t="s">
        <v>21</v>
      </c>
      <c r="G60" s="5">
        <v>68367</v>
      </c>
      <c r="H60" s="5">
        <v>422050</v>
      </c>
      <c r="I60" s="4">
        <v>100</v>
      </c>
      <c r="J60" s="4">
        <v>0.97</v>
      </c>
      <c r="K60" s="4">
        <v>6.29</v>
      </c>
      <c r="L60" s="4">
        <v>1.2</v>
      </c>
      <c r="M60" s="4">
        <v>9</v>
      </c>
      <c r="N60" s="4">
        <v>576</v>
      </c>
      <c r="O60" s="4" t="str">
        <f t="shared" si="0"/>
        <v>EMI</v>
      </c>
      <c r="P60" s="5">
        <f t="shared" si="1"/>
        <v>69187.403999999995</v>
      </c>
    </row>
    <row r="61" spans="1:16" x14ac:dyDescent="0.25">
      <c r="A61" s="4">
        <v>2018</v>
      </c>
      <c r="B61" s="4">
        <v>11</v>
      </c>
      <c r="C61" s="12" t="s">
        <v>33</v>
      </c>
      <c r="D61" s="4" t="s">
        <v>24</v>
      </c>
      <c r="E61" s="4" t="s">
        <v>14</v>
      </c>
      <c r="F61" s="4" t="s">
        <v>25</v>
      </c>
      <c r="G61" s="5">
        <v>56199</v>
      </c>
      <c r="H61" s="5">
        <v>429553</v>
      </c>
      <c r="I61" s="4">
        <v>173</v>
      </c>
      <c r="J61" s="4">
        <v>0.97</v>
      </c>
      <c r="K61" s="4">
        <v>6.29</v>
      </c>
      <c r="L61" s="4">
        <v>1.2</v>
      </c>
      <c r="M61" s="4">
        <v>3</v>
      </c>
      <c r="N61" s="4">
        <v>534</v>
      </c>
      <c r="O61" s="4" t="str">
        <f t="shared" si="0"/>
        <v>EMI</v>
      </c>
      <c r="P61" s="5">
        <f t="shared" si="1"/>
        <v>56873.387999999999</v>
      </c>
    </row>
    <row r="62" spans="1:16" x14ac:dyDescent="0.25">
      <c r="A62" s="4">
        <v>2020</v>
      </c>
      <c r="B62" s="4">
        <v>11</v>
      </c>
      <c r="C62" s="12" t="s">
        <v>12</v>
      </c>
      <c r="D62" s="4" t="s">
        <v>22</v>
      </c>
      <c r="E62" s="4" t="s">
        <v>18</v>
      </c>
      <c r="F62" s="4" t="s">
        <v>18</v>
      </c>
      <c r="G62" s="5">
        <v>109328</v>
      </c>
      <c r="H62" s="5">
        <v>389499</v>
      </c>
      <c r="I62" s="4">
        <v>120</v>
      </c>
      <c r="J62" s="4">
        <v>0.97</v>
      </c>
      <c r="K62" s="4">
        <v>6.29</v>
      </c>
      <c r="L62" s="4">
        <v>1.2</v>
      </c>
      <c r="M62" s="4">
        <v>2</v>
      </c>
      <c r="N62" s="4">
        <v>453</v>
      </c>
      <c r="O62" s="4" t="str">
        <f t="shared" si="0"/>
        <v>Discount</v>
      </c>
      <c r="P62" s="5">
        <f t="shared" si="1"/>
        <v>98395.199999999997</v>
      </c>
    </row>
    <row r="63" spans="1:16" x14ac:dyDescent="0.25">
      <c r="A63" s="4">
        <v>2016</v>
      </c>
      <c r="B63" s="4">
        <v>12</v>
      </c>
      <c r="C63" s="12" t="s">
        <v>34</v>
      </c>
      <c r="D63" s="4" t="s">
        <v>20</v>
      </c>
      <c r="E63" s="4" t="s">
        <v>17</v>
      </c>
      <c r="F63" s="4" t="s">
        <v>21</v>
      </c>
      <c r="G63" s="5">
        <v>92724</v>
      </c>
      <c r="H63" s="5">
        <v>166220</v>
      </c>
      <c r="I63" s="4">
        <v>347</v>
      </c>
      <c r="J63" s="4">
        <v>0.97</v>
      </c>
      <c r="K63" s="4">
        <v>6.29</v>
      </c>
      <c r="L63" s="4">
        <v>1.2</v>
      </c>
      <c r="M63" s="4">
        <v>9</v>
      </c>
      <c r="N63" s="4">
        <v>1070</v>
      </c>
      <c r="O63" s="4" t="str">
        <f t="shared" si="0"/>
        <v>EMI</v>
      </c>
      <c r="P63" s="5">
        <f t="shared" si="1"/>
        <v>93836.687999999995</v>
      </c>
    </row>
    <row r="64" spans="1:16" x14ac:dyDescent="0.25">
      <c r="A64" s="4">
        <v>2024</v>
      </c>
      <c r="B64" s="4">
        <v>11</v>
      </c>
      <c r="C64" s="12" t="s">
        <v>35</v>
      </c>
      <c r="D64" s="4" t="s">
        <v>29</v>
      </c>
      <c r="E64" s="4" t="s">
        <v>14</v>
      </c>
      <c r="F64" s="4" t="s">
        <v>25</v>
      </c>
      <c r="G64" s="5">
        <v>71405</v>
      </c>
      <c r="H64" s="5">
        <v>271421</v>
      </c>
      <c r="I64" s="4">
        <v>132</v>
      </c>
      <c r="J64" s="4">
        <v>0.97</v>
      </c>
      <c r="K64" s="4">
        <v>6.29</v>
      </c>
      <c r="L64" s="4">
        <v>1.2</v>
      </c>
      <c r="M64" s="4">
        <v>10</v>
      </c>
      <c r="N64" s="4">
        <v>348</v>
      </c>
      <c r="O64" s="4" t="str">
        <f t="shared" si="0"/>
        <v>EMI</v>
      </c>
      <c r="P64" s="5">
        <f t="shared" si="1"/>
        <v>72261.86</v>
      </c>
    </row>
    <row r="65" spans="1:16" x14ac:dyDescent="0.25">
      <c r="A65" s="4">
        <v>2016</v>
      </c>
      <c r="B65" s="4">
        <v>3</v>
      </c>
      <c r="C65" s="12" t="s">
        <v>30</v>
      </c>
      <c r="D65" s="4" t="s">
        <v>24</v>
      </c>
      <c r="E65" s="4" t="s">
        <v>18</v>
      </c>
      <c r="F65" s="4" t="s">
        <v>18</v>
      </c>
      <c r="G65" s="5">
        <v>50989</v>
      </c>
      <c r="H65" s="5">
        <v>399317</v>
      </c>
      <c r="I65" s="4">
        <v>202</v>
      </c>
      <c r="J65" s="4">
        <v>0.97</v>
      </c>
      <c r="K65" s="4">
        <v>6.29</v>
      </c>
      <c r="L65" s="4">
        <v>1.2</v>
      </c>
      <c r="M65" s="4">
        <v>9</v>
      </c>
      <c r="N65" s="4">
        <v>651</v>
      </c>
      <c r="O65" s="4" t="str">
        <f t="shared" si="0"/>
        <v>EMI</v>
      </c>
      <c r="P65" s="5">
        <f t="shared" si="1"/>
        <v>51600.868000000002</v>
      </c>
    </row>
    <row r="66" spans="1:16" x14ac:dyDescent="0.25">
      <c r="A66" s="4">
        <v>2024</v>
      </c>
      <c r="B66" s="4">
        <v>6</v>
      </c>
      <c r="C66" s="12" t="s">
        <v>33</v>
      </c>
      <c r="D66" s="4" t="s">
        <v>37</v>
      </c>
      <c r="E66" s="4" t="s">
        <v>18</v>
      </c>
      <c r="F66" s="4" t="s">
        <v>18</v>
      </c>
      <c r="G66" s="5">
        <v>63931</v>
      </c>
      <c r="H66" s="5">
        <v>314140</v>
      </c>
      <c r="I66" s="4">
        <v>108</v>
      </c>
      <c r="J66" s="4">
        <v>0.97</v>
      </c>
      <c r="K66" s="4">
        <v>6.29</v>
      </c>
      <c r="L66" s="4">
        <v>1.2</v>
      </c>
      <c r="M66" s="4">
        <v>4</v>
      </c>
      <c r="N66" s="4">
        <v>307</v>
      </c>
      <c r="O66" s="4" t="str">
        <f t="shared" ref="O66:O129" si="2">IF(M66&gt;2,"EMI",IF(H66&gt;300000,"Discount","Full"))</f>
        <v>EMI</v>
      </c>
      <c r="P66" s="5">
        <f t="shared" ref="P66:P129" si="3">IF(O66="EMI", G66*(1+L66/100), IF(O66="Full", G66, G66*0.9))</f>
        <v>64698.171999999999</v>
      </c>
    </row>
    <row r="67" spans="1:16" x14ac:dyDescent="0.25">
      <c r="A67" s="4">
        <v>2018</v>
      </c>
      <c r="B67" s="4">
        <v>8</v>
      </c>
      <c r="C67" s="12" t="s">
        <v>23</v>
      </c>
      <c r="D67" s="4" t="s">
        <v>16</v>
      </c>
      <c r="E67" s="4" t="s">
        <v>18</v>
      </c>
      <c r="F67" s="4" t="s">
        <v>21</v>
      </c>
      <c r="G67" s="5">
        <v>44290</v>
      </c>
      <c r="H67" s="5">
        <v>301071</v>
      </c>
      <c r="I67" s="4">
        <v>300</v>
      </c>
      <c r="J67" s="4">
        <v>0.97</v>
      </c>
      <c r="K67" s="4">
        <v>6.29</v>
      </c>
      <c r="L67" s="4">
        <v>1.2</v>
      </c>
      <c r="M67" s="4">
        <v>9</v>
      </c>
      <c r="N67" s="4">
        <v>951</v>
      </c>
      <c r="O67" s="4" t="str">
        <f t="shared" si="2"/>
        <v>EMI</v>
      </c>
      <c r="P67" s="5">
        <f t="shared" si="3"/>
        <v>44821.48</v>
      </c>
    </row>
    <row r="68" spans="1:16" x14ac:dyDescent="0.25">
      <c r="A68" s="4">
        <v>2022</v>
      </c>
      <c r="B68" s="4">
        <v>9</v>
      </c>
      <c r="C68" s="12" t="s">
        <v>30</v>
      </c>
      <c r="D68" s="4" t="s">
        <v>31</v>
      </c>
      <c r="E68" s="4" t="s">
        <v>14</v>
      </c>
      <c r="F68" s="4" t="s">
        <v>18</v>
      </c>
      <c r="G68" s="5">
        <v>73367</v>
      </c>
      <c r="H68" s="5">
        <v>356531</v>
      </c>
      <c r="I68" s="4">
        <v>168</v>
      </c>
      <c r="J68" s="4">
        <v>0.97</v>
      </c>
      <c r="K68" s="4">
        <v>6.29</v>
      </c>
      <c r="L68" s="4">
        <v>1.2</v>
      </c>
      <c r="M68" s="4">
        <v>3</v>
      </c>
      <c r="N68" s="4">
        <v>393</v>
      </c>
      <c r="O68" s="4" t="str">
        <f t="shared" si="2"/>
        <v>EMI</v>
      </c>
      <c r="P68" s="5">
        <f t="shared" si="3"/>
        <v>74247.403999999995</v>
      </c>
    </row>
    <row r="69" spans="1:16" x14ac:dyDescent="0.25">
      <c r="A69" s="4">
        <v>2021</v>
      </c>
      <c r="B69" s="4">
        <v>7</v>
      </c>
      <c r="C69" s="12" t="s">
        <v>34</v>
      </c>
      <c r="D69" s="4" t="s">
        <v>37</v>
      </c>
      <c r="E69" s="4" t="s">
        <v>14</v>
      </c>
      <c r="F69" s="4" t="s">
        <v>15</v>
      </c>
      <c r="G69" s="5">
        <v>114878</v>
      </c>
      <c r="H69" s="5">
        <v>53089</v>
      </c>
      <c r="I69" s="4">
        <v>112</v>
      </c>
      <c r="J69" s="4">
        <v>0.97</v>
      </c>
      <c r="K69" s="4">
        <v>6.29</v>
      </c>
      <c r="L69" s="4">
        <v>1.2</v>
      </c>
      <c r="M69" s="4">
        <v>7</v>
      </c>
      <c r="N69" s="4">
        <v>453</v>
      </c>
      <c r="O69" s="4" t="str">
        <f t="shared" si="2"/>
        <v>EMI</v>
      </c>
      <c r="P69" s="5">
        <f t="shared" si="3"/>
        <v>116256.53600000001</v>
      </c>
    </row>
    <row r="70" spans="1:16" x14ac:dyDescent="0.25">
      <c r="A70" s="4">
        <v>2023</v>
      </c>
      <c r="B70" s="4">
        <v>4</v>
      </c>
      <c r="C70" s="12" t="s">
        <v>30</v>
      </c>
      <c r="D70" s="4" t="s">
        <v>29</v>
      </c>
      <c r="E70" s="4" t="s">
        <v>17</v>
      </c>
      <c r="F70" s="4" t="s">
        <v>25</v>
      </c>
      <c r="G70" s="5">
        <v>114481</v>
      </c>
      <c r="H70" s="5">
        <v>410971</v>
      </c>
      <c r="I70" s="4">
        <v>394</v>
      </c>
      <c r="J70" s="4">
        <v>0.97</v>
      </c>
      <c r="K70" s="4">
        <v>6.29</v>
      </c>
      <c r="L70" s="4">
        <v>1.2</v>
      </c>
      <c r="M70" s="4">
        <v>7</v>
      </c>
      <c r="N70" s="4">
        <v>1190</v>
      </c>
      <c r="O70" s="4" t="str">
        <f t="shared" si="2"/>
        <v>EMI</v>
      </c>
      <c r="P70" s="5">
        <f t="shared" si="3"/>
        <v>115854.772</v>
      </c>
    </row>
    <row r="71" spans="1:16" x14ac:dyDescent="0.25">
      <c r="A71" s="4">
        <v>2022</v>
      </c>
      <c r="B71" s="4">
        <v>6</v>
      </c>
      <c r="C71" s="12" t="s">
        <v>26</v>
      </c>
      <c r="D71" s="4" t="s">
        <v>22</v>
      </c>
      <c r="E71" s="4" t="s">
        <v>14</v>
      </c>
      <c r="F71" s="4" t="s">
        <v>25</v>
      </c>
      <c r="G71" s="5">
        <v>111298</v>
      </c>
      <c r="H71" s="5">
        <v>332803</v>
      </c>
      <c r="I71" s="4">
        <v>290</v>
      </c>
      <c r="J71" s="4">
        <v>0.97</v>
      </c>
      <c r="K71" s="4">
        <v>6.29</v>
      </c>
      <c r="L71" s="4">
        <v>1.2</v>
      </c>
      <c r="M71" s="4">
        <v>8</v>
      </c>
      <c r="N71" s="4">
        <v>847</v>
      </c>
      <c r="O71" s="4" t="str">
        <f t="shared" si="2"/>
        <v>EMI</v>
      </c>
      <c r="P71" s="5">
        <f t="shared" si="3"/>
        <v>112633.576</v>
      </c>
    </row>
    <row r="72" spans="1:16" x14ac:dyDescent="0.25">
      <c r="A72" s="4">
        <v>2019</v>
      </c>
      <c r="B72" s="4">
        <v>5</v>
      </c>
      <c r="C72" s="12" t="s">
        <v>36</v>
      </c>
      <c r="D72" s="4" t="s">
        <v>29</v>
      </c>
      <c r="E72" s="4" t="s">
        <v>14</v>
      </c>
      <c r="F72" s="4" t="s">
        <v>18</v>
      </c>
      <c r="G72" s="5">
        <v>65133</v>
      </c>
      <c r="H72" s="5">
        <v>357322</v>
      </c>
      <c r="I72" s="4">
        <v>52</v>
      </c>
      <c r="J72" s="4">
        <v>0.97</v>
      </c>
      <c r="K72" s="4">
        <v>6.29</v>
      </c>
      <c r="L72" s="4">
        <v>1.2</v>
      </c>
      <c r="M72" s="4">
        <v>10</v>
      </c>
      <c r="N72" s="4">
        <v>117</v>
      </c>
      <c r="O72" s="4" t="str">
        <f t="shared" si="2"/>
        <v>EMI</v>
      </c>
      <c r="P72" s="5">
        <f t="shared" si="3"/>
        <v>65914.596000000005</v>
      </c>
    </row>
    <row r="73" spans="1:16" x14ac:dyDescent="0.25">
      <c r="A73" s="4">
        <v>2016</v>
      </c>
      <c r="B73" s="4">
        <v>8</v>
      </c>
      <c r="C73" s="12" t="s">
        <v>35</v>
      </c>
      <c r="D73" s="4" t="s">
        <v>31</v>
      </c>
      <c r="E73" s="4" t="s">
        <v>18</v>
      </c>
      <c r="F73" s="4" t="s">
        <v>18</v>
      </c>
      <c r="G73" s="5">
        <v>62052</v>
      </c>
      <c r="H73" s="5">
        <v>145965</v>
      </c>
      <c r="I73" s="4">
        <v>93</v>
      </c>
      <c r="J73" s="4">
        <v>0.97</v>
      </c>
      <c r="K73" s="4">
        <v>6.29</v>
      </c>
      <c r="L73" s="4">
        <v>1.2</v>
      </c>
      <c r="M73" s="4">
        <v>4</v>
      </c>
      <c r="N73" s="4">
        <v>518</v>
      </c>
      <c r="O73" s="4" t="str">
        <f t="shared" si="2"/>
        <v>EMI</v>
      </c>
      <c r="P73" s="5">
        <f t="shared" si="3"/>
        <v>62796.624000000003</v>
      </c>
    </row>
    <row r="74" spans="1:16" x14ac:dyDescent="0.25">
      <c r="A74" s="4">
        <v>2019</v>
      </c>
      <c r="B74" s="4">
        <v>1</v>
      </c>
      <c r="C74" s="12" t="s">
        <v>34</v>
      </c>
      <c r="D74" s="4" t="s">
        <v>16</v>
      </c>
      <c r="E74" s="4" t="s">
        <v>14</v>
      </c>
      <c r="F74" s="4" t="s">
        <v>15</v>
      </c>
      <c r="G74" s="5">
        <v>75475</v>
      </c>
      <c r="H74" s="5">
        <v>131268</v>
      </c>
      <c r="I74" s="4">
        <v>200</v>
      </c>
      <c r="J74" s="4">
        <v>0.97</v>
      </c>
      <c r="K74" s="4">
        <v>6.29</v>
      </c>
      <c r="L74" s="4">
        <v>1.2</v>
      </c>
      <c r="M74" s="4">
        <v>3</v>
      </c>
      <c r="N74" s="4">
        <v>610</v>
      </c>
      <c r="O74" s="4" t="str">
        <f t="shared" si="2"/>
        <v>EMI</v>
      </c>
      <c r="P74" s="5">
        <f t="shared" si="3"/>
        <v>76380.7</v>
      </c>
    </row>
    <row r="75" spans="1:16" x14ac:dyDescent="0.25">
      <c r="A75" s="4">
        <v>2022</v>
      </c>
      <c r="B75" s="4">
        <v>1</v>
      </c>
      <c r="C75" s="12" t="s">
        <v>30</v>
      </c>
      <c r="D75" s="4" t="s">
        <v>31</v>
      </c>
      <c r="E75" s="4" t="s">
        <v>18</v>
      </c>
      <c r="F75" s="4" t="s">
        <v>21</v>
      </c>
      <c r="G75" s="5">
        <v>117666</v>
      </c>
      <c r="H75" s="5">
        <v>397186</v>
      </c>
      <c r="I75" s="4">
        <v>60</v>
      </c>
      <c r="J75" s="4">
        <v>0.97</v>
      </c>
      <c r="K75" s="4">
        <v>6.29</v>
      </c>
      <c r="L75" s="4">
        <v>1.2</v>
      </c>
      <c r="M75" s="4">
        <v>3</v>
      </c>
      <c r="N75" s="4">
        <v>260</v>
      </c>
      <c r="O75" s="4" t="str">
        <f t="shared" si="2"/>
        <v>EMI</v>
      </c>
      <c r="P75" s="5">
        <f t="shared" si="3"/>
        <v>119077.992</v>
      </c>
    </row>
    <row r="76" spans="1:16" x14ac:dyDescent="0.25">
      <c r="A76" s="4">
        <v>2024</v>
      </c>
      <c r="B76" s="4">
        <v>11</v>
      </c>
      <c r="C76" s="12" t="s">
        <v>36</v>
      </c>
      <c r="D76" s="4" t="s">
        <v>13</v>
      </c>
      <c r="E76" s="4" t="s">
        <v>18</v>
      </c>
      <c r="F76" s="4" t="s">
        <v>18</v>
      </c>
      <c r="G76" s="5">
        <v>92656</v>
      </c>
      <c r="H76" s="5">
        <v>418615</v>
      </c>
      <c r="I76" s="4">
        <v>395</v>
      </c>
      <c r="J76" s="4">
        <v>0.97</v>
      </c>
      <c r="K76" s="4">
        <v>6.29</v>
      </c>
      <c r="L76" s="4">
        <v>1.2</v>
      </c>
      <c r="M76" s="4">
        <v>5</v>
      </c>
      <c r="N76" s="4">
        <v>1115</v>
      </c>
      <c r="O76" s="4" t="str">
        <f t="shared" si="2"/>
        <v>EMI</v>
      </c>
      <c r="P76" s="5">
        <f t="shared" si="3"/>
        <v>93767.872000000003</v>
      </c>
    </row>
    <row r="77" spans="1:16" x14ac:dyDescent="0.25">
      <c r="A77" s="4">
        <v>2023</v>
      </c>
      <c r="B77" s="4">
        <v>6</v>
      </c>
      <c r="C77" s="12" t="s">
        <v>36</v>
      </c>
      <c r="D77" s="4" t="s">
        <v>16</v>
      </c>
      <c r="E77" s="4" t="s">
        <v>14</v>
      </c>
      <c r="F77" s="4" t="s">
        <v>18</v>
      </c>
      <c r="G77" s="5">
        <v>39633</v>
      </c>
      <c r="H77" s="5">
        <v>251798</v>
      </c>
      <c r="I77" s="4">
        <v>219</v>
      </c>
      <c r="J77" s="4">
        <v>0.97</v>
      </c>
      <c r="K77" s="4">
        <v>6.29</v>
      </c>
      <c r="L77" s="4">
        <v>1.2</v>
      </c>
      <c r="M77" s="4">
        <v>1</v>
      </c>
      <c r="N77" s="4">
        <v>677</v>
      </c>
      <c r="O77" s="4" t="str">
        <f t="shared" si="2"/>
        <v>Full</v>
      </c>
      <c r="P77" s="5">
        <f t="shared" si="3"/>
        <v>39633</v>
      </c>
    </row>
    <row r="78" spans="1:16" x14ac:dyDescent="0.25">
      <c r="A78" s="4">
        <v>2023</v>
      </c>
      <c r="B78" s="4">
        <v>10</v>
      </c>
      <c r="C78" s="12" t="s">
        <v>30</v>
      </c>
      <c r="D78" s="4" t="s">
        <v>29</v>
      </c>
      <c r="E78" s="4" t="s">
        <v>17</v>
      </c>
      <c r="F78" s="4" t="s">
        <v>18</v>
      </c>
      <c r="G78" s="5">
        <v>52304</v>
      </c>
      <c r="H78" s="5">
        <v>382255</v>
      </c>
      <c r="I78" s="4">
        <v>135</v>
      </c>
      <c r="J78" s="4">
        <v>0.97</v>
      </c>
      <c r="K78" s="4">
        <v>6.29</v>
      </c>
      <c r="L78" s="4">
        <v>1.2</v>
      </c>
      <c r="M78" s="4">
        <v>10</v>
      </c>
      <c r="N78" s="4">
        <v>370</v>
      </c>
      <c r="O78" s="4" t="str">
        <f t="shared" si="2"/>
        <v>EMI</v>
      </c>
      <c r="P78" s="5">
        <f t="shared" si="3"/>
        <v>52931.648000000001</v>
      </c>
    </row>
    <row r="79" spans="1:16" x14ac:dyDescent="0.25">
      <c r="A79" s="4">
        <v>2015</v>
      </c>
      <c r="B79" s="4">
        <v>12</v>
      </c>
      <c r="C79" s="12" t="s">
        <v>23</v>
      </c>
      <c r="D79" s="4" t="s">
        <v>24</v>
      </c>
      <c r="E79" s="4" t="s">
        <v>17</v>
      </c>
      <c r="F79" s="4" t="s">
        <v>18</v>
      </c>
      <c r="G79" s="5">
        <v>81546</v>
      </c>
      <c r="H79" s="5">
        <v>287103</v>
      </c>
      <c r="I79" s="4">
        <v>78</v>
      </c>
      <c r="J79" s="4">
        <v>0.97</v>
      </c>
      <c r="K79" s="4">
        <v>6.29</v>
      </c>
      <c r="L79" s="4">
        <v>1.2</v>
      </c>
      <c r="M79" s="4">
        <v>3</v>
      </c>
      <c r="N79" s="4">
        <v>532</v>
      </c>
      <c r="O79" s="4" t="str">
        <f t="shared" si="2"/>
        <v>EMI</v>
      </c>
      <c r="P79" s="5">
        <f t="shared" si="3"/>
        <v>82524.551999999996</v>
      </c>
    </row>
    <row r="80" spans="1:16" x14ac:dyDescent="0.25">
      <c r="A80" s="4">
        <v>2023</v>
      </c>
      <c r="B80" s="4">
        <v>2</v>
      </c>
      <c r="C80" s="12" t="s">
        <v>26</v>
      </c>
      <c r="D80" s="4" t="s">
        <v>29</v>
      </c>
      <c r="E80" s="4" t="s">
        <v>14</v>
      </c>
      <c r="F80" s="4" t="s">
        <v>25</v>
      </c>
      <c r="G80" s="5">
        <v>42008</v>
      </c>
      <c r="H80" s="5">
        <v>294754</v>
      </c>
      <c r="I80" s="4">
        <v>274</v>
      </c>
      <c r="J80" s="4">
        <v>0.97</v>
      </c>
      <c r="K80" s="4">
        <v>6.29</v>
      </c>
      <c r="L80" s="4">
        <v>1.2</v>
      </c>
      <c r="M80" s="4">
        <v>6</v>
      </c>
      <c r="N80" s="4">
        <v>691</v>
      </c>
      <c r="O80" s="4" t="str">
        <f t="shared" si="2"/>
        <v>EMI</v>
      </c>
      <c r="P80" s="5">
        <f t="shared" si="3"/>
        <v>42512.095999999998</v>
      </c>
    </row>
    <row r="81" spans="1:16" x14ac:dyDescent="0.25">
      <c r="A81" s="4">
        <v>2021</v>
      </c>
      <c r="B81" s="4">
        <v>5</v>
      </c>
      <c r="C81" s="12" t="s">
        <v>28</v>
      </c>
      <c r="D81" s="4" t="s">
        <v>29</v>
      </c>
      <c r="E81" s="4" t="s">
        <v>17</v>
      </c>
      <c r="F81" s="4" t="s">
        <v>18</v>
      </c>
      <c r="G81" s="5">
        <v>83291</v>
      </c>
      <c r="H81" s="5">
        <v>215637</v>
      </c>
      <c r="I81" s="4">
        <v>267</v>
      </c>
      <c r="J81" s="4">
        <v>0.97</v>
      </c>
      <c r="K81" s="4">
        <v>6.29</v>
      </c>
      <c r="L81" s="4">
        <v>1.2</v>
      </c>
      <c r="M81" s="4">
        <v>3</v>
      </c>
      <c r="N81" s="4">
        <v>899</v>
      </c>
      <c r="O81" s="4" t="str">
        <f t="shared" si="2"/>
        <v>EMI</v>
      </c>
      <c r="P81" s="5">
        <f t="shared" si="3"/>
        <v>84290.491999999998</v>
      </c>
    </row>
    <row r="82" spans="1:16" x14ac:dyDescent="0.25">
      <c r="A82" s="4">
        <v>2023</v>
      </c>
      <c r="B82" s="4">
        <v>1</v>
      </c>
      <c r="C82" s="12" t="s">
        <v>26</v>
      </c>
      <c r="D82" s="4" t="s">
        <v>16</v>
      </c>
      <c r="E82" s="4" t="s">
        <v>18</v>
      </c>
      <c r="F82" s="4" t="s">
        <v>25</v>
      </c>
      <c r="G82" s="5">
        <v>62405</v>
      </c>
      <c r="H82" s="5">
        <v>412579</v>
      </c>
      <c r="I82" s="4">
        <v>197</v>
      </c>
      <c r="J82" s="4">
        <v>0.97</v>
      </c>
      <c r="K82" s="4">
        <v>6.29</v>
      </c>
      <c r="L82" s="4">
        <v>1.2</v>
      </c>
      <c r="M82" s="4">
        <v>5</v>
      </c>
      <c r="N82" s="4">
        <v>605</v>
      </c>
      <c r="O82" s="4" t="str">
        <f t="shared" si="2"/>
        <v>EMI</v>
      </c>
      <c r="P82" s="5">
        <f t="shared" si="3"/>
        <v>63153.86</v>
      </c>
    </row>
    <row r="83" spans="1:16" x14ac:dyDescent="0.25">
      <c r="A83" s="4">
        <v>2022</v>
      </c>
      <c r="B83" s="4">
        <v>7</v>
      </c>
      <c r="C83" s="12" t="s">
        <v>30</v>
      </c>
      <c r="D83" s="4" t="s">
        <v>13</v>
      </c>
      <c r="E83" s="4" t="s">
        <v>18</v>
      </c>
      <c r="F83" s="4" t="s">
        <v>18</v>
      </c>
      <c r="G83" s="5">
        <v>71386</v>
      </c>
      <c r="H83" s="5">
        <v>139242</v>
      </c>
      <c r="I83" s="4">
        <v>239</v>
      </c>
      <c r="J83" s="4">
        <v>0.97</v>
      </c>
      <c r="K83" s="4">
        <v>6.29</v>
      </c>
      <c r="L83" s="4">
        <v>1.2</v>
      </c>
      <c r="M83" s="4">
        <v>9</v>
      </c>
      <c r="N83" s="4">
        <v>474</v>
      </c>
      <c r="O83" s="4" t="str">
        <f t="shared" si="2"/>
        <v>EMI</v>
      </c>
      <c r="P83" s="5">
        <f t="shared" si="3"/>
        <v>72242.631999999998</v>
      </c>
    </row>
    <row r="84" spans="1:16" x14ac:dyDescent="0.25">
      <c r="A84" s="4">
        <v>2015</v>
      </c>
      <c r="B84" s="4">
        <v>1</v>
      </c>
      <c r="C84" s="12" t="s">
        <v>35</v>
      </c>
      <c r="D84" s="4" t="s">
        <v>29</v>
      </c>
      <c r="E84" s="4" t="s">
        <v>14</v>
      </c>
      <c r="F84" s="4" t="s">
        <v>21</v>
      </c>
      <c r="G84" s="5">
        <v>55827</v>
      </c>
      <c r="H84" s="5">
        <v>425348</v>
      </c>
      <c r="I84" s="4">
        <v>198</v>
      </c>
      <c r="J84" s="4">
        <v>0.97</v>
      </c>
      <c r="K84" s="4">
        <v>6.29</v>
      </c>
      <c r="L84" s="4">
        <v>1.2</v>
      </c>
      <c r="M84" s="4">
        <v>2</v>
      </c>
      <c r="N84" s="4">
        <v>706</v>
      </c>
      <c r="O84" s="4" t="str">
        <f t="shared" si="2"/>
        <v>Discount</v>
      </c>
      <c r="P84" s="5">
        <f t="shared" si="3"/>
        <v>50244.3</v>
      </c>
    </row>
    <row r="85" spans="1:16" x14ac:dyDescent="0.25">
      <c r="A85" s="4">
        <v>2022</v>
      </c>
      <c r="B85" s="4">
        <v>4</v>
      </c>
      <c r="C85" s="12" t="s">
        <v>28</v>
      </c>
      <c r="D85" s="4" t="s">
        <v>37</v>
      </c>
      <c r="E85" s="4" t="s">
        <v>17</v>
      </c>
      <c r="F85" s="4" t="s">
        <v>15</v>
      </c>
      <c r="G85" s="5">
        <v>68040</v>
      </c>
      <c r="H85" s="5">
        <v>203956</v>
      </c>
      <c r="I85" s="4">
        <v>19</v>
      </c>
      <c r="J85" s="4">
        <v>0.97</v>
      </c>
      <c r="K85" s="4">
        <v>6.29</v>
      </c>
      <c r="L85" s="4">
        <v>1.2</v>
      </c>
      <c r="M85" s="4">
        <v>2</v>
      </c>
      <c r="N85" s="4">
        <v>272</v>
      </c>
      <c r="O85" s="4" t="str">
        <f t="shared" si="2"/>
        <v>Full</v>
      </c>
      <c r="P85" s="5">
        <f t="shared" si="3"/>
        <v>68040</v>
      </c>
    </row>
    <row r="86" spans="1:16" x14ac:dyDescent="0.25">
      <c r="A86" s="4">
        <v>2022</v>
      </c>
      <c r="B86" s="4">
        <v>9</v>
      </c>
      <c r="C86" s="12" t="s">
        <v>34</v>
      </c>
      <c r="D86" s="4" t="s">
        <v>27</v>
      </c>
      <c r="E86" s="4" t="s">
        <v>17</v>
      </c>
      <c r="F86" s="4" t="s">
        <v>21</v>
      </c>
      <c r="G86" s="5">
        <v>95354</v>
      </c>
      <c r="H86" s="5">
        <v>329343</v>
      </c>
      <c r="I86" s="4">
        <v>123</v>
      </c>
      <c r="J86" s="4">
        <v>0.97</v>
      </c>
      <c r="K86" s="4">
        <v>6.29</v>
      </c>
      <c r="L86" s="4">
        <v>1.2</v>
      </c>
      <c r="M86" s="4">
        <v>6</v>
      </c>
      <c r="N86" s="4">
        <v>531</v>
      </c>
      <c r="O86" s="4" t="str">
        <f t="shared" si="2"/>
        <v>EMI</v>
      </c>
      <c r="P86" s="5">
        <f t="shared" si="3"/>
        <v>96498.248000000007</v>
      </c>
    </row>
    <row r="87" spans="1:16" x14ac:dyDescent="0.25">
      <c r="A87" s="4">
        <v>2017</v>
      </c>
      <c r="B87" s="4">
        <v>1</v>
      </c>
      <c r="C87" s="12" t="s">
        <v>26</v>
      </c>
      <c r="D87" s="4" t="s">
        <v>32</v>
      </c>
      <c r="E87" s="4" t="s">
        <v>18</v>
      </c>
      <c r="F87" s="4" t="s">
        <v>18</v>
      </c>
      <c r="G87" s="5">
        <v>113543</v>
      </c>
      <c r="H87" s="5">
        <v>110038</v>
      </c>
      <c r="I87" s="4">
        <v>85</v>
      </c>
      <c r="J87" s="4">
        <v>0.97</v>
      </c>
      <c r="K87" s="4">
        <v>6.29</v>
      </c>
      <c r="L87" s="4">
        <v>1.2</v>
      </c>
      <c r="M87" s="4">
        <v>6</v>
      </c>
      <c r="N87" s="4">
        <v>586</v>
      </c>
      <c r="O87" s="4" t="str">
        <f t="shared" si="2"/>
        <v>EMI</v>
      </c>
      <c r="P87" s="5">
        <f t="shared" si="3"/>
        <v>114905.516</v>
      </c>
    </row>
    <row r="88" spans="1:16" x14ac:dyDescent="0.25">
      <c r="A88" s="4">
        <v>2015</v>
      </c>
      <c r="B88" s="4">
        <v>4</v>
      </c>
      <c r="C88" s="12" t="s">
        <v>30</v>
      </c>
      <c r="D88" s="4" t="s">
        <v>32</v>
      </c>
      <c r="E88" s="4" t="s">
        <v>14</v>
      </c>
      <c r="F88" s="4" t="s">
        <v>18</v>
      </c>
      <c r="G88" s="5">
        <v>53157</v>
      </c>
      <c r="H88" s="5">
        <v>107786</v>
      </c>
      <c r="I88" s="4">
        <v>173</v>
      </c>
      <c r="J88" s="4">
        <v>0.97</v>
      </c>
      <c r="K88" s="4">
        <v>6.29</v>
      </c>
      <c r="L88" s="4">
        <v>1.2</v>
      </c>
      <c r="M88" s="4">
        <v>8</v>
      </c>
      <c r="N88" s="4">
        <v>667</v>
      </c>
      <c r="O88" s="4" t="str">
        <f t="shared" si="2"/>
        <v>EMI</v>
      </c>
      <c r="P88" s="5">
        <f t="shared" si="3"/>
        <v>53794.883999999998</v>
      </c>
    </row>
    <row r="89" spans="1:16" x14ac:dyDescent="0.25">
      <c r="A89" s="4">
        <v>2022</v>
      </c>
      <c r="B89" s="4">
        <v>6</v>
      </c>
      <c r="C89" s="12" t="s">
        <v>26</v>
      </c>
      <c r="D89" s="4" t="s">
        <v>29</v>
      </c>
      <c r="E89" s="4" t="s">
        <v>17</v>
      </c>
      <c r="F89" s="4" t="s">
        <v>18</v>
      </c>
      <c r="G89" s="5">
        <v>70315</v>
      </c>
      <c r="H89" s="5">
        <v>421780</v>
      </c>
      <c r="I89" s="4">
        <v>94</v>
      </c>
      <c r="J89" s="4">
        <v>0.97</v>
      </c>
      <c r="K89" s="4">
        <v>6.29</v>
      </c>
      <c r="L89" s="4">
        <v>1.2</v>
      </c>
      <c r="M89" s="4">
        <v>2</v>
      </c>
      <c r="N89" s="4">
        <v>559</v>
      </c>
      <c r="O89" s="4" t="str">
        <f t="shared" si="2"/>
        <v>Discount</v>
      </c>
      <c r="P89" s="5">
        <f t="shared" si="3"/>
        <v>63283.5</v>
      </c>
    </row>
    <row r="90" spans="1:16" x14ac:dyDescent="0.25">
      <c r="A90" s="4">
        <v>2017</v>
      </c>
      <c r="B90" s="4">
        <v>6</v>
      </c>
      <c r="C90" s="12" t="s">
        <v>28</v>
      </c>
      <c r="D90" s="4" t="s">
        <v>37</v>
      </c>
      <c r="E90" s="4" t="s">
        <v>14</v>
      </c>
      <c r="F90" s="4" t="s">
        <v>21</v>
      </c>
      <c r="G90" s="5">
        <v>70932</v>
      </c>
      <c r="H90" s="5">
        <v>286042</v>
      </c>
      <c r="I90" s="4">
        <v>58</v>
      </c>
      <c r="J90" s="4">
        <v>0.97</v>
      </c>
      <c r="K90" s="4">
        <v>6.29</v>
      </c>
      <c r="L90" s="4">
        <v>1.2</v>
      </c>
      <c r="M90" s="4">
        <v>9</v>
      </c>
      <c r="N90" s="4">
        <v>502</v>
      </c>
      <c r="O90" s="4" t="str">
        <f t="shared" si="2"/>
        <v>EMI</v>
      </c>
      <c r="P90" s="5">
        <f t="shared" si="3"/>
        <v>71783.183999999994</v>
      </c>
    </row>
    <row r="91" spans="1:16" x14ac:dyDescent="0.25">
      <c r="A91" s="4">
        <v>2017</v>
      </c>
      <c r="B91" s="4">
        <v>12</v>
      </c>
      <c r="C91" s="12" t="s">
        <v>12</v>
      </c>
      <c r="D91" s="4" t="s">
        <v>24</v>
      </c>
      <c r="E91" s="4" t="s">
        <v>17</v>
      </c>
      <c r="F91" s="4" t="s">
        <v>18</v>
      </c>
      <c r="G91" s="5">
        <v>56164</v>
      </c>
      <c r="H91" s="5">
        <v>361438</v>
      </c>
      <c r="I91" s="4">
        <v>335</v>
      </c>
      <c r="J91" s="4">
        <v>0.97</v>
      </c>
      <c r="K91" s="4">
        <v>6.29</v>
      </c>
      <c r="L91" s="4">
        <v>1.2</v>
      </c>
      <c r="M91" s="4">
        <v>2</v>
      </c>
      <c r="N91" s="4">
        <v>822</v>
      </c>
      <c r="O91" s="4" t="str">
        <f t="shared" si="2"/>
        <v>Discount</v>
      </c>
      <c r="P91" s="5">
        <f t="shared" si="3"/>
        <v>50547.6</v>
      </c>
    </row>
    <row r="92" spans="1:16" x14ac:dyDescent="0.25">
      <c r="A92" s="4">
        <v>2015</v>
      </c>
      <c r="B92" s="4">
        <v>8</v>
      </c>
      <c r="C92" s="12" t="s">
        <v>33</v>
      </c>
      <c r="D92" s="4" t="s">
        <v>22</v>
      </c>
      <c r="E92" s="4" t="s">
        <v>18</v>
      </c>
      <c r="F92" s="4" t="s">
        <v>21</v>
      </c>
      <c r="G92" s="5">
        <v>49414</v>
      </c>
      <c r="H92" s="5">
        <v>259087</v>
      </c>
      <c r="I92" s="4">
        <v>186</v>
      </c>
      <c r="J92" s="4">
        <v>0.97</v>
      </c>
      <c r="K92" s="4">
        <v>6.29</v>
      </c>
      <c r="L92" s="4">
        <v>1.2</v>
      </c>
      <c r="M92" s="4">
        <v>1</v>
      </c>
      <c r="N92" s="4">
        <v>564</v>
      </c>
      <c r="O92" s="4" t="str">
        <f t="shared" si="2"/>
        <v>Full</v>
      </c>
      <c r="P92" s="5">
        <f t="shared" si="3"/>
        <v>49414</v>
      </c>
    </row>
    <row r="93" spans="1:16" x14ac:dyDescent="0.25">
      <c r="A93" s="4">
        <v>2019</v>
      </c>
      <c r="B93" s="4">
        <v>1</v>
      </c>
      <c r="C93" s="12" t="s">
        <v>26</v>
      </c>
      <c r="D93" s="4" t="s">
        <v>22</v>
      </c>
      <c r="E93" s="4" t="s">
        <v>18</v>
      </c>
      <c r="F93" s="4" t="s">
        <v>25</v>
      </c>
      <c r="G93" s="5">
        <v>49327</v>
      </c>
      <c r="H93" s="5">
        <v>215250</v>
      </c>
      <c r="I93" s="4">
        <v>396</v>
      </c>
      <c r="J93" s="4">
        <v>0.97</v>
      </c>
      <c r="K93" s="4">
        <v>6.29</v>
      </c>
      <c r="L93" s="4">
        <v>1.2</v>
      </c>
      <c r="M93" s="4">
        <v>10</v>
      </c>
      <c r="N93" s="4">
        <v>1066</v>
      </c>
      <c r="O93" s="4" t="str">
        <f t="shared" si="2"/>
        <v>EMI</v>
      </c>
      <c r="P93" s="5">
        <f t="shared" si="3"/>
        <v>49918.923999999999</v>
      </c>
    </row>
    <row r="94" spans="1:16" x14ac:dyDescent="0.25">
      <c r="A94" s="4">
        <v>2024</v>
      </c>
      <c r="B94" s="4">
        <v>7</v>
      </c>
      <c r="C94" s="12" t="s">
        <v>34</v>
      </c>
      <c r="D94" s="4" t="s">
        <v>16</v>
      </c>
      <c r="E94" s="4" t="s">
        <v>14</v>
      </c>
      <c r="F94" s="4" t="s">
        <v>15</v>
      </c>
      <c r="G94" s="5">
        <v>35946</v>
      </c>
      <c r="H94" s="5">
        <v>455881</v>
      </c>
      <c r="I94" s="4">
        <v>398</v>
      </c>
      <c r="J94" s="4">
        <v>0.97</v>
      </c>
      <c r="K94" s="4">
        <v>6.29</v>
      </c>
      <c r="L94" s="4">
        <v>1.2</v>
      </c>
      <c r="M94" s="4">
        <v>2</v>
      </c>
      <c r="N94" s="4">
        <v>871</v>
      </c>
      <c r="O94" s="4" t="str">
        <f t="shared" si="2"/>
        <v>Discount</v>
      </c>
      <c r="P94" s="5">
        <f t="shared" si="3"/>
        <v>32351.4</v>
      </c>
    </row>
    <row r="95" spans="1:16" x14ac:dyDescent="0.25">
      <c r="A95" s="4">
        <v>2021</v>
      </c>
      <c r="B95" s="4">
        <v>1</v>
      </c>
      <c r="C95" s="12" t="s">
        <v>34</v>
      </c>
      <c r="D95" s="4" t="s">
        <v>32</v>
      </c>
      <c r="E95" s="4" t="s">
        <v>18</v>
      </c>
      <c r="F95" s="4" t="s">
        <v>15</v>
      </c>
      <c r="G95" s="5">
        <v>49693</v>
      </c>
      <c r="H95" s="5">
        <v>312678</v>
      </c>
      <c r="I95" s="4">
        <v>227</v>
      </c>
      <c r="J95" s="4">
        <v>0.97</v>
      </c>
      <c r="K95" s="4">
        <v>6.29</v>
      </c>
      <c r="L95" s="4">
        <v>1.2</v>
      </c>
      <c r="M95" s="4">
        <v>7</v>
      </c>
      <c r="N95" s="4">
        <v>592</v>
      </c>
      <c r="O95" s="4" t="str">
        <f t="shared" si="2"/>
        <v>EMI</v>
      </c>
      <c r="P95" s="5">
        <f t="shared" si="3"/>
        <v>50289.315999999999</v>
      </c>
    </row>
    <row r="96" spans="1:16" x14ac:dyDescent="0.25">
      <c r="A96" s="4">
        <v>2024</v>
      </c>
      <c r="B96" s="4">
        <v>7</v>
      </c>
      <c r="C96" s="12" t="s">
        <v>19</v>
      </c>
      <c r="D96" s="4" t="s">
        <v>29</v>
      </c>
      <c r="E96" s="4" t="s">
        <v>17</v>
      </c>
      <c r="F96" s="4" t="s">
        <v>21</v>
      </c>
      <c r="G96" s="5">
        <v>62241</v>
      </c>
      <c r="H96" s="5">
        <v>403972</v>
      </c>
      <c r="I96" s="4">
        <v>198</v>
      </c>
      <c r="J96" s="4">
        <v>0.97</v>
      </c>
      <c r="K96" s="4">
        <v>6.29</v>
      </c>
      <c r="L96" s="4">
        <v>1.2</v>
      </c>
      <c r="M96" s="4">
        <v>8</v>
      </c>
      <c r="N96" s="4">
        <v>508</v>
      </c>
      <c r="O96" s="4" t="str">
        <f t="shared" si="2"/>
        <v>EMI</v>
      </c>
      <c r="P96" s="5">
        <f t="shared" si="3"/>
        <v>62987.892</v>
      </c>
    </row>
    <row r="97" spans="1:16" x14ac:dyDescent="0.25">
      <c r="A97" s="4">
        <v>2023</v>
      </c>
      <c r="B97" s="4">
        <v>3</v>
      </c>
      <c r="C97" s="12" t="s">
        <v>26</v>
      </c>
      <c r="D97" s="4" t="s">
        <v>22</v>
      </c>
      <c r="E97" s="4" t="s">
        <v>18</v>
      </c>
      <c r="F97" s="4" t="s">
        <v>25</v>
      </c>
      <c r="G97" s="5">
        <v>50540</v>
      </c>
      <c r="H97" s="5">
        <v>348276</v>
      </c>
      <c r="I97" s="4">
        <v>355</v>
      </c>
      <c r="J97" s="4">
        <v>0.97</v>
      </c>
      <c r="K97" s="4">
        <v>6.29</v>
      </c>
      <c r="L97" s="4">
        <v>1.2</v>
      </c>
      <c r="M97" s="4">
        <v>5</v>
      </c>
      <c r="N97" s="4">
        <v>1177</v>
      </c>
      <c r="O97" s="4" t="str">
        <f t="shared" si="2"/>
        <v>EMI</v>
      </c>
      <c r="P97" s="5">
        <f t="shared" si="3"/>
        <v>51146.48</v>
      </c>
    </row>
    <row r="98" spans="1:16" x14ac:dyDescent="0.25">
      <c r="A98" s="4">
        <v>2021</v>
      </c>
      <c r="B98" s="4">
        <v>11</v>
      </c>
      <c r="C98" s="12" t="s">
        <v>33</v>
      </c>
      <c r="D98" s="4" t="s">
        <v>29</v>
      </c>
      <c r="E98" s="4" t="s">
        <v>14</v>
      </c>
      <c r="F98" s="4" t="s">
        <v>21</v>
      </c>
      <c r="G98" s="5">
        <v>107255</v>
      </c>
      <c r="H98" s="5">
        <v>427864</v>
      </c>
      <c r="I98" s="4">
        <v>239</v>
      </c>
      <c r="J98" s="4">
        <v>0.97</v>
      </c>
      <c r="K98" s="4">
        <v>6.29</v>
      </c>
      <c r="L98" s="4">
        <v>1.2</v>
      </c>
      <c r="M98" s="4">
        <v>6</v>
      </c>
      <c r="N98" s="4">
        <v>630</v>
      </c>
      <c r="O98" s="4" t="str">
        <f t="shared" si="2"/>
        <v>EMI</v>
      </c>
      <c r="P98" s="5">
        <f t="shared" si="3"/>
        <v>108542.06</v>
      </c>
    </row>
    <row r="99" spans="1:16" x14ac:dyDescent="0.25">
      <c r="A99" s="4">
        <v>2023</v>
      </c>
      <c r="B99" s="4">
        <v>8</v>
      </c>
      <c r="C99" s="12" t="s">
        <v>23</v>
      </c>
      <c r="D99" s="4" t="s">
        <v>16</v>
      </c>
      <c r="E99" s="4" t="s">
        <v>14</v>
      </c>
      <c r="F99" s="4" t="s">
        <v>25</v>
      </c>
      <c r="G99" s="5">
        <v>99757</v>
      </c>
      <c r="H99" s="5">
        <v>348254</v>
      </c>
      <c r="I99" s="4">
        <v>264</v>
      </c>
      <c r="J99" s="4">
        <v>0.97</v>
      </c>
      <c r="K99" s="4">
        <v>6.29</v>
      </c>
      <c r="L99" s="4">
        <v>1.2</v>
      </c>
      <c r="M99" s="4">
        <v>1</v>
      </c>
      <c r="N99" s="4">
        <v>845</v>
      </c>
      <c r="O99" s="4" t="str">
        <f t="shared" si="2"/>
        <v>Discount</v>
      </c>
      <c r="P99" s="5">
        <f t="shared" si="3"/>
        <v>89781.3</v>
      </c>
    </row>
    <row r="100" spans="1:16" x14ac:dyDescent="0.25">
      <c r="A100" s="4">
        <v>2022</v>
      </c>
      <c r="B100" s="4">
        <v>3</v>
      </c>
      <c r="C100" s="12" t="s">
        <v>36</v>
      </c>
      <c r="D100" s="4" t="s">
        <v>32</v>
      </c>
      <c r="E100" s="4" t="s">
        <v>14</v>
      </c>
      <c r="F100" s="4" t="s">
        <v>18</v>
      </c>
      <c r="G100" s="5">
        <v>76203</v>
      </c>
      <c r="H100" s="5">
        <v>239826</v>
      </c>
      <c r="I100" s="4">
        <v>245</v>
      </c>
      <c r="J100" s="4">
        <v>0.97</v>
      </c>
      <c r="K100" s="4">
        <v>6.29</v>
      </c>
      <c r="L100" s="4">
        <v>1.2</v>
      </c>
      <c r="M100" s="4">
        <v>6</v>
      </c>
      <c r="N100" s="4">
        <v>880</v>
      </c>
      <c r="O100" s="4" t="str">
        <f t="shared" si="2"/>
        <v>EMI</v>
      </c>
      <c r="P100" s="5">
        <f t="shared" si="3"/>
        <v>77117.436000000002</v>
      </c>
    </row>
    <row r="101" spans="1:16" x14ac:dyDescent="0.25">
      <c r="A101" s="4">
        <v>2016</v>
      </c>
      <c r="B101" s="4">
        <v>1</v>
      </c>
      <c r="C101" s="12" t="s">
        <v>33</v>
      </c>
      <c r="D101" s="4" t="s">
        <v>31</v>
      </c>
      <c r="E101" s="4" t="s">
        <v>17</v>
      </c>
      <c r="F101" s="4" t="s">
        <v>25</v>
      </c>
      <c r="G101" s="5">
        <v>60081</v>
      </c>
      <c r="H101" s="5">
        <v>375724</v>
      </c>
      <c r="I101" s="4">
        <v>35</v>
      </c>
      <c r="J101" s="4">
        <v>0.97</v>
      </c>
      <c r="K101" s="4">
        <v>6.29</v>
      </c>
      <c r="L101" s="4">
        <v>1.2</v>
      </c>
      <c r="M101" s="4">
        <v>8</v>
      </c>
      <c r="N101" s="4">
        <v>100</v>
      </c>
      <c r="O101" s="4" t="str">
        <f t="shared" si="2"/>
        <v>EMI</v>
      </c>
      <c r="P101" s="5">
        <f t="shared" si="3"/>
        <v>60801.972000000002</v>
      </c>
    </row>
    <row r="102" spans="1:16" x14ac:dyDescent="0.25">
      <c r="A102" s="4">
        <v>2015</v>
      </c>
      <c r="B102" s="4">
        <v>8</v>
      </c>
      <c r="C102" s="12" t="s">
        <v>36</v>
      </c>
      <c r="D102" s="4" t="s">
        <v>27</v>
      </c>
      <c r="E102" s="4" t="s">
        <v>17</v>
      </c>
      <c r="F102" s="4" t="s">
        <v>25</v>
      </c>
      <c r="G102" s="5">
        <v>96861</v>
      </c>
      <c r="H102" s="5">
        <v>465685</v>
      </c>
      <c r="I102" s="4">
        <v>81</v>
      </c>
      <c r="J102" s="4">
        <v>0.97</v>
      </c>
      <c r="K102" s="4">
        <v>6.29</v>
      </c>
      <c r="L102" s="4">
        <v>1.2</v>
      </c>
      <c r="M102" s="4">
        <v>3</v>
      </c>
      <c r="N102" s="4">
        <v>451</v>
      </c>
      <c r="O102" s="4" t="str">
        <f t="shared" si="2"/>
        <v>EMI</v>
      </c>
      <c r="P102" s="5">
        <f t="shared" si="3"/>
        <v>98023.331999999995</v>
      </c>
    </row>
    <row r="103" spans="1:16" x14ac:dyDescent="0.25">
      <c r="A103" s="4">
        <v>2021</v>
      </c>
      <c r="B103" s="4">
        <v>3</v>
      </c>
      <c r="C103" s="12" t="s">
        <v>36</v>
      </c>
      <c r="D103" s="4" t="s">
        <v>27</v>
      </c>
      <c r="E103" s="4" t="s">
        <v>17</v>
      </c>
      <c r="F103" s="4" t="s">
        <v>25</v>
      </c>
      <c r="G103" s="5">
        <v>46350</v>
      </c>
      <c r="H103" s="5">
        <v>376160</v>
      </c>
      <c r="I103" s="4">
        <v>270</v>
      </c>
      <c r="J103" s="4">
        <v>0.97</v>
      </c>
      <c r="K103" s="4">
        <v>6.29</v>
      </c>
      <c r="L103" s="4">
        <v>1.2</v>
      </c>
      <c r="M103" s="4">
        <v>1</v>
      </c>
      <c r="N103" s="4">
        <v>944</v>
      </c>
      <c r="O103" s="4" t="str">
        <f t="shared" si="2"/>
        <v>Discount</v>
      </c>
      <c r="P103" s="5">
        <f t="shared" si="3"/>
        <v>41715</v>
      </c>
    </row>
    <row r="104" spans="1:16" x14ac:dyDescent="0.25">
      <c r="A104" s="4">
        <v>2021</v>
      </c>
      <c r="B104" s="4">
        <v>2</v>
      </c>
      <c r="C104" s="12" t="s">
        <v>12</v>
      </c>
      <c r="D104" s="4" t="s">
        <v>22</v>
      </c>
      <c r="E104" s="4" t="s">
        <v>17</v>
      </c>
      <c r="F104" s="4" t="s">
        <v>15</v>
      </c>
      <c r="G104" s="5">
        <v>90512</v>
      </c>
      <c r="H104" s="5">
        <v>96233</v>
      </c>
      <c r="I104" s="4">
        <v>263</v>
      </c>
      <c r="J104" s="4">
        <v>0.97</v>
      </c>
      <c r="K104" s="4">
        <v>6.29</v>
      </c>
      <c r="L104" s="4">
        <v>1.2</v>
      </c>
      <c r="M104" s="4">
        <v>4</v>
      </c>
      <c r="N104" s="4">
        <v>705</v>
      </c>
      <c r="O104" s="4" t="str">
        <f t="shared" si="2"/>
        <v>EMI</v>
      </c>
      <c r="P104" s="5">
        <f t="shared" si="3"/>
        <v>91598.144</v>
      </c>
    </row>
    <row r="105" spans="1:16" x14ac:dyDescent="0.25">
      <c r="A105" s="4">
        <v>2022</v>
      </c>
      <c r="B105" s="4">
        <v>1</v>
      </c>
      <c r="C105" s="12" t="s">
        <v>19</v>
      </c>
      <c r="D105" s="4" t="s">
        <v>27</v>
      </c>
      <c r="E105" s="4" t="s">
        <v>17</v>
      </c>
      <c r="F105" s="4" t="s">
        <v>25</v>
      </c>
      <c r="G105" s="5">
        <v>91809</v>
      </c>
      <c r="H105" s="5">
        <v>442007</v>
      </c>
      <c r="I105" s="4">
        <v>280</v>
      </c>
      <c r="J105" s="4">
        <v>0.97</v>
      </c>
      <c r="K105" s="4">
        <v>6.29</v>
      </c>
      <c r="L105" s="4">
        <v>1.2</v>
      </c>
      <c r="M105" s="4">
        <v>1</v>
      </c>
      <c r="N105" s="4">
        <v>947</v>
      </c>
      <c r="O105" s="4" t="str">
        <f t="shared" si="2"/>
        <v>Discount</v>
      </c>
      <c r="P105" s="5">
        <f t="shared" si="3"/>
        <v>82628.100000000006</v>
      </c>
    </row>
    <row r="106" spans="1:16" x14ac:dyDescent="0.25">
      <c r="A106" s="4">
        <v>2019</v>
      </c>
      <c r="B106" s="4">
        <v>3</v>
      </c>
      <c r="C106" s="12" t="s">
        <v>33</v>
      </c>
      <c r="D106" s="4" t="s">
        <v>31</v>
      </c>
      <c r="E106" s="4" t="s">
        <v>18</v>
      </c>
      <c r="F106" s="4" t="s">
        <v>18</v>
      </c>
      <c r="G106" s="5">
        <v>77832</v>
      </c>
      <c r="H106" s="5">
        <v>247780</v>
      </c>
      <c r="I106" s="4">
        <v>132</v>
      </c>
      <c r="J106" s="4">
        <v>0.97</v>
      </c>
      <c r="K106" s="4">
        <v>6.29</v>
      </c>
      <c r="L106" s="4">
        <v>1.2</v>
      </c>
      <c r="M106" s="4">
        <v>8</v>
      </c>
      <c r="N106" s="4">
        <v>658</v>
      </c>
      <c r="O106" s="4" t="str">
        <f t="shared" si="2"/>
        <v>EMI</v>
      </c>
      <c r="P106" s="5">
        <f t="shared" si="3"/>
        <v>78765.983999999997</v>
      </c>
    </row>
    <row r="107" spans="1:16" x14ac:dyDescent="0.25">
      <c r="A107" s="4">
        <v>2017</v>
      </c>
      <c r="B107" s="4">
        <v>2</v>
      </c>
      <c r="C107" s="12" t="s">
        <v>33</v>
      </c>
      <c r="D107" s="4" t="s">
        <v>29</v>
      </c>
      <c r="E107" s="4" t="s">
        <v>17</v>
      </c>
      <c r="F107" s="4" t="s">
        <v>18</v>
      </c>
      <c r="G107" s="5">
        <v>63369</v>
      </c>
      <c r="H107" s="5">
        <v>274522</v>
      </c>
      <c r="I107" s="4">
        <v>153</v>
      </c>
      <c r="J107" s="4">
        <v>0.97</v>
      </c>
      <c r="K107" s="4">
        <v>6.29</v>
      </c>
      <c r="L107" s="4">
        <v>1.2</v>
      </c>
      <c r="M107" s="4">
        <v>5</v>
      </c>
      <c r="N107" s="4">
        <v>532</v>
      </c>
      <c r="O107" s="4" t="str">
        <f t="shared" si="2"/>
        <v>EMI</v>
      </c>
      <c r="P107" s="5">
        <f t="shared" si="3"/>
        <v>64129.428</v>
      </c>
    </row>
    <row r="108" spans="1:16" x14ac:dyDescent="0.25">
      <c r="A108" s="4">
        <v>2022</v>
      </c>
      <c r="B108" s="4">
        <v>2</v>
      </c>
      <c r="C108" s="12" t="s">
        <v>12</v>
      </c>
      <c r="D108" s="4" t="s">
        <v>16</v>
      </c>
      <c r="E108" s="4" t="s">
        <v>17</v>
      </c>
      <c r="F108" s="4" t="s">
        <v>18</v>
      </c>
      <c r="G108" s="5">
        <v>66728</v>
      </c>
      <c r="H108" s="5">
        <v>156311</v>
      </c>
      <c r="I108" s="4">
        <v>266</v>
      </c>
      <c r="J108" s="4">
        <v>0.97</v>
      </c>
      <c r="K108" s="4">
        <v>6.29</v>
      </c>
      <c r="L108" s="4">
        <v>1.2</v>
      </c>
      <c r="M108" s="4">
        <v>1</v>
      </c>
      <c r="N108" s="4">
        <v>904</v>
      </c>
      <c r="O108" s="4" t="str">
        <f t="shared" si="2"/>
        <v>Full</v>
      </c>
      <c r="P108" s="5">
        <f t="shared" si="3"/>
        <v>66728</v>
      </c>
    </row>
    <row r="109" spans="1:16" x14ac:dyDescent="0.25">
      <c r="A109" s="4">
        <v>2020</v>
      </c>
      <c r="B109" s="4">
        <v>6</v>
      </c>
      <c r="C109" s="12" t="s">
        <v>26</v>
      </c>
      <c r="D109" s="4" t="s">
        <v>31</v>
      </c>
      <c r="E109" s="4" t="s">
        <v>18</v>
      </c>
      <c r="F109" s="4" t="s">
        <v>25</v>
      </c>
      <c r="G109" s="5">
        <v>52576</v>
      </c>
      <c r="H109" s="5">
        <v>84409</v>
      </c>
      <c r="I109" s="4">
        <v>153</v>
      </c>
      <c r="J109" s="4">
        <v>0.97</v>
      </c>
      <c r="K109" s="4">
        <v>6.29</v>
      </c>
      <c r="L109" s="4">
        <v>1.2</v>
      </c>
      <c r="M109" s="4">
        <v>8</v>
      </c>
      <c r="N109" s="4">
        <v>728</v>
      </c>
      <c r="O109" s="4" t="str">
        <f t="shared" si="2"/>
        <v>EMI</v>
      </c>
      <c r="P109" s="5">
        <f t="shared" si="3"/>
        <v>53206.912000000004</v>
      </c>
    </row>
    <row r="110" spans="1:16" x14ac:dyDescent="0.25">
      <c r="A110" s="4">
        <v>2017</v>
      </c>
      <c r="B110" s="4">
        <v>12</v>
      </c>
      <c r="C110" s="12" t="s">
        <v>26</v>
      </c>
      <c r="D110" s="4" t="s">
        <v>16</v>
      </c>
      <c r="E110" s="4" t="s">
        <v>17</v>
      </c>
      <c r="F110" s="4" t="s">
        <v>21</v>
      </c>
      <c r="G110" s="5">
        <v>64001</v>
      </c>
      <c r="H110" s="5">
        <v>296231</v>
      </c>
      <c r="I110" s="4">
        <v>268</v>
      </c>
      <c r="J110" s="4">
        <v>0.97</v>
      </c>
      <c r="K110" s="4">
        <v>6.29</v>
      </c>
      <c r="L110" s="4">
        <v>1.2</v>
      </c>
      <c r="M110" s="4">
        <v>9</v>
      </c>
      <c r="N110" s="4">
        <v>709</v>
      </c>
      <c r="O110" s="4" t="str">
        <f t="shared" si="2"/>
        <v>EMI</v>
      </c>
      <c r="P110" s="5">
        <f t="shared" si="3"/>
        <v>64769.012000000002</v>
      </c>
    </row>
    <row r="111" spans="1:16" x14ac:dyDescent="0.25">
      <c r="A111" s="4">
        <v>2015</v>
      </c>
      <c r="B111" s="4">
        <v>1</v>
      </c>
      <c r="C111" s="12" t="s">
        <v>26</v>
      </c>
      <c r="D111" s="4" t="s">
        <v>16</v>
      </c>
      <c r="E111" s="4" t="s">
        <v>14</v>
      </c>
      <c r="F111" s="4" t="s">
        <v>21</v>
      </c>
      <c r="G111" s="5">
        <v>118384</v>
      </c>
      <c r="H111" s="5">
        <v>462540</v>
      </c>
      <c r="I111" s="4">
        <v>56</v>
      </c>
      <c r="J111" s="4">
        <v>0.97</v>
      </c>
      <c r="K111" s="4">
        <v>6.29</v>
      </c>
      <c r="L111" s="4">
        <v>1.2</v>
      </c>
      <c r="M111" s="4">
        <v>10</v>
      </c>
      <c r="N111" s="4">
        <v>368</v>
      </c>
      <c r="O111" s="4" t="str">
        <f t="shared" si="2"/>
        <v>EMI</v>
      </c>
      <c r="P111" s="5">
        <f t="shared" si="3"/>
        <v>119804.60800000001</v>
      </c>
    </row>
    <row r="112" spans="1:16" x14ac:dyDescent="0.25">
      <c r="A112" s="4">
        <v>2017</v>
      </c>
      <c r="B112" s="4">
        <v>2</v>
      </c>
      <c r="C112" s="12" t="s">
        <v>35</v>
      </c>
      <c r="D112" s="4" t="s">
        <v>32</v>
      </c>
      <c r="E112" s="4" t="s">
        <v>17</v>
      </c>
      <c r="F112" s="4" t="s">
        <v>18</v>
      </c>
      <c r="G112" s="5">
        <v>35390</v>
      </c>
      <c r="H112" s="5">
        <v>451954</v>
      </c>
      <c r="I112" s="4">
        <v>360</v>
      </c>
      <c r="J112" s="4">
        <v>0.97</v>
      </c>
      <c r="K112" s="4">
        <v>6.29</v>
      </c>
      <c r="L112" s="4">
        <v>1.2</v>
      </c>
      <c r="M112" s="4">
        <v>2</v>
      </c>
      <c r="N112" s="4">
        <v>1007</v>
      </c>
      <c r="O112" s="4" t="str">
        <f t="shared" si="2"/>
        <v>Discount</v>
      </c>
      <c r="P112" s="5">
        <f t="shared" si="3"/>
        <v>31851</v>
      </c>
    </row>
    <row r="113" spans="1:16" x14ac:dyDescent="0.25">
      <c r="A113" s="4">
        <v>2019</v>
      </c>
      <c r="B113" s="4">
        <v>6</v>
      </c>
      <c r="C113" s="12" t="s">
        <v>36</v>
      </c>
      <c r="D113" s="4" t="s">
        <v>29</v>
      </c>
      <c r="E113" s="4" t="s">
        <v>17</v>
      </c>
      <c r="F113" s="4" t="s">
        <v>15</v>
      </c>
      <c r="G113" s="5">
        <v>80436</v>
      </c>
      <c r="H113" s="5">
        <v>336198</v>
      </c>
      <c r="I113" s="4">
        <v>22</v>
      </c>
      <c r="J113" s="4">
        <v>0.97</v>
      </c>
      <c r="K113" s="4">
        <v>6.29</v>
      </c>
      <c r="L113" s="4">
        <v>1.2</v>
      </c>
      <c r="M113" s="4">
        <v>9</v>
      </c>
      <c r="N113" s="4">
        <v>193</v>
      </c>
      <c r="O113" s="4" t="str">
        <f t="shared" si="2"/>
        <v>EMI</v>
      </c>
      <c r="P113" s="5">
        <f t="shared" si="3"/>
        <v>81401.232000000004</v>
      </c>
    </row>
    <row r="114" spans="1:16" x14ac:dyDescent="0.25">
      <c r="A114" s="4">
        <v>2017</v>
      </c>
      <c r="B114" s="4">
        <v>3</v>
      </c>
      <c r="C114" s="12" t="s">
        <v>35</v>
      </c>
      <c r="D114" s="4" t="s">
        <v>37</v>
      </c>
      <c r="E114" s="4" t="s">
        <v>14</v>
      </c>
      <c r="F114" s="4" t="s">
        <v>21</v>
      </c>
      <c r="G114" s="5">
        <v>46569</v>
      </c>
      <c r="H114" s="5">
        <v>79709</v>
      </c>
      <c r="I114" s="4">
        <v>385</v>
      </c>
      <c r="J114" s="4">
        <v>0.97</v>
      </c>
      <c r="K114" s="4">
        <v>6.29</v>
      </c>
      <c r="L114" s="4">
        <v>1.2</v>
      </c>
      <c r="M114" s="4">
        <v>8</v>
      </c>
      <c r="N114" s="4">
        <v>874</v>
      </c>
      <c r="O114" s="4" t="str">
        <f t="shared" si="2"/>
        <v>EMI</v>
      </c>
      <c r="P114" s="5">
        <f t="shared" si="3"/>
        <v>47127.828000000001</v>
      </c>
    </row>
    <row r="115" spans="1:16" x14ac:dyDescent="0.25">
      <c r="A115" s="4">
        <v>2015</v>
      </c>
      <c r="B115" s="4">
        <v>4</v>
      </c>
      <c r="C115" s="12" t="s">
        <v>19</v>
      </c>
      <c r="D115" s="4" t="s">
        <v>27</v>
      </c>
      <c r="E115" s="4" t="s">
        <v>14</v>
      </c>
      <c r="F115" s="4" t="s">
        <v>25</v>
      </c>
      <c r="G115" s="5">
        <v>48029</v>
      </c>
      <c r="H115" s="5">
        <v>159321</v>
      </c>
      <c r="I115" s="4">
        <v>217</v>
      </c>
      <c r="J115" s="4">
        <v>0.97</v>
      </c>
      <c r="K115" s="4">
        <v>6.29</v>
      </c>
      <c r="L115" s="4">
        <v>1.2</v>
      </c>
      <c r="M115" s="4">
        <v>7</v>
      </c>
      <c r="N115" s="4">
        <v>622</v>
      </c>
      <c r="O115" s="4" t="str">
        <f t="shared" si="2"/>
        <v>EMI</v>
      </c>
      <c r="P115" s="5">
        <f t="shared" si="3"/>
        <v>48605.347999999998</v>
      </c>
    </row>
    <row r="116" spans="1:16" x14ac:dyDescent="0.25">
      <c r="A116" s="4">
        <v>2019</v>
      </c>
      <c r="B116" s="4">
        <v>1</v>
      </c>
      <c r="C116" s="12" t="s">
        <v>12</v>
      </c>
      <c r="D116" s="4" t="s">
        <v>37</v>
      </c>
      <c r="E116" s="4" t="s">
        <v>14</v>
      </c>
      <c r="F116" s="4" t="s">
        <v>21</v>
      </c>
      <c r="G116" s="5">
        <v>57490</v>
      </c>
      <c r="H116" s="5">
        <v>50363</v>
      </c>
      <c r="I116" s="4">
        <v>320</v>
      </c>
      <c r="J116" s="4">
        <v>0.97</v>
      </c>
      <c r="K116" s="4">
        <v>6.29</v>
      </c>
      <c r="L116" s="4">
        <v>1.2</v>
      </c>
      <c r="M116" s="4">
        <v>3</v>
      </c>
      <c r="N116" s="4">
        <v>1049</v>
      </c>
      <c r="O116" s="4" t="str">
        <f t="shared" si="2"/>
        <v>EMI</v>
      </c>
      <c r="P116" s="5">
        <f t="shared" si="3"/>
        <v>58179.88</v>
      </c>
    </row>
    <row r="117" spans="1:16" x14ac:dyDescent="0.25">
      <c r="A117" s="4">
        <v>2024</v>
      </c>
      <c r="B117" s="4">
        <v>8</v>
      </c>
      <c r="C117" s="12" t="s">
        <v>33</v>
      </c>
      <c r="D117" s="4" t="s">
        <v>32</v>
      </c>
      <c r="E117" s="4" t="s">
        <v>14</v>
      </c>
      <c r="F117" s="4" t="s">
        <v>18</v>
      </c>
      <c r="G117" s="5">
        <v>80875</v>
      </c>
      <c r="H117" s="5">
        <v>322502</v>
      </c>
      <c r="I117" s="4">
        <v>244</v>
      </c>
      <c r="J117" s="4">
        <v>0.97</v>
      </c>
      <c r="K117" s="4">
        <v>6.29</v>
      </c>
      <c r="L117" s="4">
        <v>1.2</v>
      </c>
      <c r="M117" s="4">
        <v>2</v>
      </c>
      <c r="N117" s="4">
        <v>857</v>
      </c>
      <c r="O117" s="4" t="str">
        <f t="shared" si="2"/>
        <v>Discount</v>
      </c>
      <c r="P117" s="5">
        <f t="shared" si="3"/>
        <v>72787.5</v>
      </c>
    </row>
    <row r="118" spans="1:16" x14ac:dyDescent="0.25">
      <c r="A118" s="4">
        <v>2021</v>
      </c>
      <c r="B118" s="4">
        <v>7</v>
      </c>
      <c r="C118" s="12" t="s">
        <v>36</v>
      </c>
      <c r="D118" s="4" t="s">
        <v>16</v>
      </c>
      <c r="E118" s="4" t="s">
        <v>17</v>
      </c>
      <c r="F118" s="4" t="s">
        <v>15</v>
      </c>
      <c r="G118" s="5">
        <v>40867</v>
      </c>
      <c r="H118" s="5">
        <v>446456</v>
      </c>
      <c r="I118" s="4">
        <v>158</v>
      </c>
      <c r="J118" s="4">
        <v>0.97</v>
      </c>
      <c r="K118" s="4">
        <v>6.29</v>
      </c>
      <c r="L118" s="4">
        <v>1.2</v>
      </c>
      <c r="M118" s="4">
        <v>7</v>
      </c>
      <c r="N118" s="4">
        <v>426</v>
      </c>
      <c r="O118" s="4" t="str">
        <f t="shared" si="2"/>
        <v>EMI</v>
      </c>
      <c r="P118" s="5">
        <f t="shared" si="3"/>
        <v>41357.404000000002</v>
      </c>
    </row>
    <row r="119" spans="1:16" x14ac:dyDescent="0.25">
      <c r="A119" s="4">
        <v>2021</v>
      </c>
      <c r="B119" s="4">
        <v>7</v>
      </c>
      <c r="C119" s="12" t="s">
        <v>35</v>
      </c>
      <c r="D119" s="4" t="s">
        <v>22</v>
      </c>
      <c r="E119" s="4" t="s">
        <v>14</v>
      </c>
      <c r="F119" s="4" t="s">
        <v>21</v>
      </c>
      <c r="G119" s="5">
        <v>115820</v>
      </c>
      <c r="H119" s="5">
        <v>95689</v>
      </c>
      <c r="I119" s="4">
        <v>331</v>
      </c>
      <c r="J119" s="4">
        <v>0.97</v>
      </c>
      <c r="K119" s="4">
        <v>6.29</v>
      </c>
      <c r="L119" s="4">
        <v>1.2</v>
      </c>
      <c r="M119" s="4">
        <v>5</v>
      </c>
      <c r="N119" s="4">
        <v>1055</v>
      </c>
      <c r="O119" s="4" t="str">
        <f t="shared" si="2"/>
        <v>EMI</v>
      </c>
      <c r="P119" s="5">
        <f t="shared" si="3"/>
        <v>117209.84</v>
      </c>
    </row>
    <row r="120" spans="1:16" x14ac:dyDescent="0.25">
      <c r="A120" s="4">
        <v>2023</v>
      </c>
      <c r="B120" s="4">
        <v>3</v>
      </c>
      <c r="C120" s="12" t="s">
        <v>35</v>
      </c>
      <c r="D120" s="4" t="s">
        <v>27</v>
      </c>
      <c r="E120" s="4" t="s">
        <v>14</v>
      </c>
      <c r="F120" s="4" t="s">
        <v>21</v>
      </c>
      <c r="G120" s="5">
        <v>44121</v>
      </c>
      <c r="H120" s="5">
        <v>314080</v>
      </c>
      <c r="I120" s="4">
        <v>164</v>
      </c>
      <c r="J120" s="4">
        <v>0.97</v>
      </c>
      <c r="K120" s="4">
        <v>6.29</v>
      </c>
      <c r="L120" s="4">
        <v>1.2</v>
      </c>
      <c r="M120" s="4">
        <v>6</v>
      </c>
      <c r="N120" s="4">
        <v>742</v>
      </c>
      <c r="O120" s="4" t="str">
        <f t="shared" si="2"/>
        <v>EMI</v>
      </c>
      <c r="P120" s="5">
        <f t="shared" si="3"/>
        <v>44650.451999999997</v>
      </c>
    </row>
    <row r="121" spans="1:16" x14ac:dyDescent="0.25">
      <c r="A121" s="4">
        <v>2024</v>
      </c>
      <c r="B121" s="4">
        <v>10</v>
      </c>
      <c r="C121" s="12" t="s">
        <v>30</v>
      </c>
      <c r="D121" s="4" t="s">
        <v>27</v>
      </c>
      <c r="E121" s="4" t="s">
        <v>18</v>
      </c>
      <c r="F121" s="4" t="s">
        <v>18</v>
      </c>
      <c r="G121" s="5">
        <v>36539</v>
      </c>
      <c r="H121" s="5">
        <v>424416</v>
      </c>
      <c r="I121" s="4">
        <v>175</v>
      </c>
      <c r="J121" s="4">
        <v>0.97</v>
      </c>
      <c r="K121" s="4">
        <v>6.29</v>
      </c>
      <c r="L121" s="4">
        <v>1.2</v>
      </c>
      <c r="M121" s="4">
        <v>4</v>
      </c>
      <c r="N121" s="4">
        <v>686</v>
      </c>
      <c r="O121" s="4" t="str">
        <f t="shared" si="2"/>
        <v>EMI</v>
      </c>
      <c r="P121" s="5">
        <f t="shared" si="3"/>
        <v>36977.468000000001</v>
      </c>
    </row>
    <row r="122" spans="1:16" x14ac:dyDescent="0.25">
      <c r="A122" s="4">
        <v>2024</v>
      </c>
      <c r="B122" s="4">
        <v>10</v>
      </c>
      <c r="C122" s="12" t="s">
        <v>35</v>
      </c>
      <c r="D122" s="4" t="s">
        <v>29</v>
      </c>
      <c r="E122" s="4" t="s">
        <v>14</v>
      </c>
      <c r="F122" s="4" t="s">
        <v>15</v>
      </c>
      <c r="G122" s="5">
        <v>52027</v>
      </c>
      <c r="H122" s="5">
        <v>141074</v>
      </c>
      <c r="I122" s="4">
        <v>99</v>
      </c>
      <c r="J122" s="4">
        <v>0.97</v>
      </c>
      <c r="K122" s="4">
        <v>6.29</v>
      </c>
      <c r="L122" s="4">
        <v>1.2</v>
      </c>
      <c r="M122" s="4">
        <v>2</v>
      </c>
      <c r="N122" s="4">
        <v>299</v>
      </c>
      <c r="O122" s="4" t="str">
        <f t="shared" si="2"/>
        <v>Full</v>
      </c>
      <c r="P122" s="5">
        <f t="shared" si="3"/>
        <v>52027</v>
      </c>
    </row>
    <row r="123" spans="1:16" x14ac:dyDescent="0.25">
      <c r="A123" s="4">
        <v>2017</v>
      </c>
      <c r="B123" s="4">
        <v>3</v>
      </c>
      <c r="C123" s="12" t="s">
        <v>23</v>
      </c>
      <c r="D123" s="4" t="s">
        <v>13</v>
      </c>
      <c r="E123" s="4" t="s">
        <v>14</v>
      </c>
      <c r="F123" s="4" t="s">
        <v>15</v>
      </c>
      <c r="G123" s="5">
        <v>109229</v>
      </c>
      <c r="H123" s="5">
        <v>225037</v>
      </c>
      <c r="I123" s="4">
        <v>195</v>
      </c>
      <c r="J123" s="4">
        <v>0.97</v>
      </c>
      <c r="K123" s="4">
        <v>6.29</v>
      </c>
      <c r="L123" s="4">
        <v>1.2</v>
      </c>
      <c r="M123" s="4">
        <v>9</v>
      </c>
      <c r="N123" s="4">
        <v>716</v>
      </c>
      <c r="O123" s="4" t="str">
        <f t="shared" si="2"/>
        <v>EMI</v>
      </c>
      <c r="P123" s="5">
        <f t="shared" si="3"/>
        <v>110539.74800000001</v>
      </c>
    </row>
    <row r="124" spans="1:16" x14ac:dyDescent="0.25">
      <c r="A124" s="4">
        <v>2021</v>
      </c>
      <c r="B124" s="4">
        <v>2</v>
      </c>
      <c r="C124" s="12" t="s">
        <v>33</v>
      </c>
      <c r="D124" s="4" t="s">
        <v>20</v>
      </c>
      <c r="E124" s="4" t="s">
        <v>18</v>
      </c>
      <c r="F124" s="4" t="s">
        <v>18</v>
      </c>
      <c r="G124" s="5">
        <v>43921</v>
      </c>
      <c r="H124" s="5">
        <v>258606</v>
      </c>
      <c r="I124" s="4">
        <v>327</v>
      </c>
      <c r="J124" s="4">
        <v>0.97</v>
      </c>
      <c r="K124" s="4">
        <v>6.29</v>
      </c>
      <c r="L124" s="4">
        <v>1.2</v>
      </c>
      <c r="M124" s="4">
        <v>3</v>
      </c>
      <c r="N124" s="4">
        <v>906</v>
      </c>
      <c r="O124" s="4" t="str">
        <f t="shared" si="2"/>
        <v>EMI</v>
      </c>
      <c r="P124" s="5">
        <f t="shared" si="3"/>
        <v>44448.052000000003</v>
      </c>
    </row>
    <row r="125" spans="1:16" x14ac:dyDescent="0.25">
      <c r="A125" s="4">
        <v>2015</v>
      </c>
      <c r="B125" s="4">
        <v>12</v>
      </c>
      <c r="C125" s="12" t="s">
        <v>23</v>
      </c>
      <c r="D125" s="4" t="s">
        <v>20</v>
      </c>
      <c r="E125" s="4" t="s">
        <v>18</v>
      </c>
      <c r="F125" s="4" t="s">
        <v>25</v>
      </c>
      <c r="G125" s="5">
        <v>85435</v>
      </c>
      <c r="H125" s="5">
        <v>50882</v>
      </c>
      <c r="I125" s="4">
        <v>367</v>
      </c>
      <c r="J125" s="4">
        <v>0.97</v>
      </c>
      <c r="K125" s="4">
        <v>6.29</v>
      </c>
      <c r="L125" s="4">
        <v>1.2</v>
      </c>
      <c r="M125" s="4">
        <v>7</v>
      </c>
      <c r="N125" s="4">
        <v>1038</v>
      </c>
      <c r="O125" s="4" t="str">
        <f t="shared" si="2"/>
        <v>EMI</v>
      </c>
      <c r="P125" s="5">
        <f t="shared" si="3"/>
        <v>86460.22</v>
      </c>
    </row>
    <row r="126" spans="1:16" x14ac:dyDescent="0.25">
      <c r="A126" s="4">
        <v>2018</v>
      </c>
      <c r="B126" s="4">
        <v>1</v>
      </c>
      <c r="C126" s="12" t="s">
        <v>33</v>
      </c>
      <c r="D126" s="4" t="s">
        <v>20</v>
      </c>
      <c r="E126" s="4" t="s">
        <v>17</v>
      </c>
      <c r="F126" s="4" t="s">
        <v>21</v>
      </c>
      <c r="G126" s="5">
        <v>45310</v>
      </c>
      <c r="H126" s="5">
        <v>463440</v>
      </c>
      <c r="I126" s="4">
        <v>183</v>
      </c>
      <c r="J126" s="4">
        <v>0.97</v>
      </c>
      <c r="K126" s="4">
        <v>6.29</v>
      </c>
      <c r="L126" s="4">
        <v>1.2</v>
      </c>
      <c r="M126" s="4">
        <v>8</v>
      </c>
      <c r="N126" s="4">
        <v>421</v>
      </c>
      <c r="O126" s="4" t="str">
        <f t="shared" si="2"/>
        <v>EMI</v>
      </c>
      <c r="P126" s="5">
        <f t="shared" si="3"/>
        <v>45853.72</v>
      </c>
    </row>
    <row r="127" spans="1:16" x14ac:dyDescent="0.25">
      <c r="A127" s="4">
        <v>2018</v>
      </c>
      <c r="B127" s="4">
        <v>7</v>
      </c>
      <c r="C127" s="12" t="s">
        <v>12</v>
      </c>
      <c r="D127" s="4" t="s">
        <v>13</v>
      </c>
      <c r="E127" s="4" t="s">
        <v>18</v>
      </c>
      <c r="F127" s="4" t="s">
        <v>25</v>
      </c>
      <c r="G127" s="5">
        <v>98965</v>
      </c>
      <c r="H127" s="5">
        <v>417371</v>
      </c>
      <c r="I127" s="4">
        <v>226</v>
      </c>
      <c r="J127" s="4">
        <v>0.97</v>
      </c>
      <c r="K127" s="4">
        <v>6.29</v>
      </c>
      <c r="L127" s="4">
        <v>1.2</v>
      </c>
      <c r="M127" s="4">
        <v>2</v>
      </c>
      <c r="N127" s="4">
        <v>551</v>
      </c>
      <c r="O127" s="4" t="str">
        <f t="shared" si="2"/>
        <v>Discount</v>
      </c>
      <c r="P127" s="5">
        <f t="shared" si="3"/>
        <v>89068.5</v>
      </c>
    </row>
    <row r="128" spans="1:16" x14ac:dyDescent="0.25">
      <c r="A128" s="4">
        <v>2019</v>
      </c>
      <c r="B128" s="4">
        <v>7</v>
      </c>
      <c r="C128" s="12" t="s">
        <v>33</v>
      </c>
      <c r="D128" s="4" t="s">
        <v>29</v>
      </c>
      <c r="E128" s="4" t="s">
        <v>17</v>
      </c>
      <c r="F128" s="4" t="s">
        <v>21</v>
      </c>
      <c r="G128" s="5">
        <v>104922</v>
      </c>
      <c r="H128" s="5">
        <v>304822</v>
      </c>
      <c r="I128" s="4">
        <v>273</v>
      </c>
      <c r="J128" s="4">
        <v>0.97</v>
      </c>
      <c r="K128" s="4">
        <v>6.29</v>
      </c>
      <c r="L128" s="4">
        <v>1.2</v>
      </c>
      <c r="M128" s="4">
        <v>6</v>
      </c>
      <c r="N128" s="4">
        <v>941</v>
      </c>
      <c r="O128" s="4" t="str">
        <f t="shared" si="2"/>
        <v>EMI</v>
      </c>
      <c r="P128" s="5">
        <f t="shared" si="3"/>
        <v>106181.064</v>
      </c>
    </row>
    <row r="129" spans="1:16" x14ac:dyDescent="0.25">
      <c r="A129" s="4">
        <v>2021</v>
      </c>
      <c r="B129" s="4">
        <v>12</v>
      </c>
      <c r="C129" s="12" t="s">
        <v>23</v>
      </c>
      <c r="D129" s="4" t="s">
        <v>13</v>
      </c>
      <c r="E129" s="4" t="s">
        <v>18</v>
      </c>
      <c r="F129" s="4" t="s">
        <v>21</v>
      </c>
      <c r="G129" s="5">
        <v>117839</v>
      </c>
      <c r="H129" s="5">
        <v>175865</v>
      </c>
      <c r="I129" s="4">
        <v>106</v>
      </c>
      <c r="J129" s="4">
        <v>0.97</v>
      </c>
      <c r="K129" s="4">
        <v>6.29</v>
      </c>
      <c r="L129" s="4">
        <v>1.2</v>
      </c>
      <c r="M129" s="4">
        <v>8</v>
      </c>
      <c r="N129" s="4">
        <v>626</v>
      </c>
      <c r="O129" s="4" t="str">
        <f t="shared" si="2"/>
        <v>EMI</v>
      </c>
      <c r="P129" s="5">
        <f t="shared" si="3"/>
        <v>119253.068</v>
      </c>
    </row>
    <row r="130" spans="1:16" x14ac:dyDescent="0.25">
      <c r="A130" s="4">
        <v>2021</v>
      </c>
      <c r="B130" s="4">
        <v>2</v>
      </c>
      <c r="C130" s="12" t="s">
        <v>33</v>
      </c>
      <c r="D130" s="4" t="s">
        <v>20</v>
      </c>
      <c r="E130" s="4" t="s">
        <v>18</v>
      </c>
      <c r="F130" s="4" t="s">
        <v>25</v>
      </c>
      <c r="G130" s="5">
        <v>47242</v>
      </c>
      <c r="H130" s="5">
        <v>173745</v>
      </c>
      <c r="I130" s="4">
        <v>126</v>
      </c>
      <c r="J130" s="4">
        <v>0.97</v>
      </c>
      <c r="K130" s="4">
        <v>6.29</v>
      </c>
      <c r="L130" s="4">
        <v>1.2</v>
      </c>
      <c r="M130" s="4">
        <v>7</v>
      </c>
      <c r="N130" s="4">
        <v>632</v>
      </c>
      <c r="O130" s="4" t="str">
        <f t="shared" ref="O130:O193" si="4">IF(M130&gt;2,"EMI",IF(H130&gt;300000,"Discount","Full"))</f>
        <v>EMI</v>
      </c>
      <c r="P130" s="5">
        <f t="shared" ref="P130:P193" si="5">IF(O130="EMI", G130*(1+L130/100), IF(O130="Full", G130, G130*0.9))</f>
        <v>47808.904000000002</v>
      </c>
    </row>
    <row r="131" spans="1:16" x14ac:dyDescent="0.25">
      <c r="A131" s="4">
        <v>2018</v>
      </c>
      <c r="B131" s="4">
        <v>7</v>
      </c>
      <c r="C131" s="12" t="s">
        <v>12</v>
      </c>
      <c r="D131" s="4" t="s">
        <v>32</v>
      </c>
      <c r="E131" s="4" t="s">
        <v>17</v>
      </c>
      <c r="F131" s="4" t="s">
        <v>18</v>
      </c>
      <c r="G131" s="5">
        <v>43947</v>
      </c>
      <c r="H131" s="5">
        <v>474041</v>
      </c>
      <c r="I131" s="4">
        <v>208</v>
      </c>
      <c r="J131" s="4">
        <v>0.97</v>
      </c>
      <c r="K131" s="4">
        <v>6.29</v>
      </c>
      <c r="L131" s="4">
        <v>1.2</v>
      </c>
      <c r="M131" s="4">
        <v>3</v>
      </c>
      <c r="N131" s="4">
        <v>837</v>
      </c>
      <c r="O131" s="4" t="str">
        <f t="shared" si="4"/>
        <v>EMI</v>
      </c>
      <c r="P131" s="5">
        <f t="shared" si="5"/>
        <v>44474.364000000001</v>
      </c>
    </row>
    <row r="132" spans="1:16" x14ac:dyDescent="0.25">
      <c r="A132" s="4">
        <v>2021</v>
      </c>
      <c r="B132" s="4">
        <v>8</v>
      </c>
      <c r="C132" s="12" t="s">
        <v>12</v>
      </c>
      <c r="D132" s="4" t="s">
        <v>31</v>
      </c>
      <c r="E132" s="4" t="s">
        <v>18</v>
      </c>
      <c r="F132" s="4" t="s">
        <v>18</v>
      </c>
      <c r="G132" s="5">
        <v>106466</v>
      </c>
      <c r="H132" s="5">
        <v>78885</v>
      </c>
      <c r="I132" s="4">
        <v>329</v>
      </c>
      <c r="J132" s="4">
        <v>0.97</v>
      </c>
      <c r="K132" s="4">
        <v>6.29</v>
      </c>
      <c r="L132" s="4">
        <v>1.2</v>
      </c>
      <c r="M132" s="4">
        <v>1</v>
      </c>
      <c r="N132" s="4">
        <v>749</v>
      </c>
      <c r="O132" s="4" t="str">
        <f t="shared" si="4"/>
        <v>Full</v>
      </c>
      <c r="P132" s="5">
        <f t="shared" si="5"/>
        <v>106466</v>
      </c>
    </row>
    <row r="133" spans="1:16" x14ac:dyDescent="0.25">
      <c r="A133" s="4">
        <v>2017</v>
      </c>
      <c r="B133" s="4">
        <v>1</v>
      </c>
      <c r="C133" s="12" t="s">
        <v>19</v>
      </c>
      <c r="D133" s="4" t="s">
        <v>16</v>
      </c>
      <c r="E133" s="4" t="s">
        <v>17</v>
      </c>
      <c r="F133" s="4" t="s">
        <v>21</v>
      </c>
      <c r="G133" s="5">
        <v>96816</v>
      </c>
      <c r="H133" s="5">
        <v>221128</v>
      </c>
      <c r="I133" s="4">
        <v>30</v>
      </c>
      <c r="J133" s="4">
        <v>0.97</v>
      </c>
      <c r="K133" s="4">
        <v>6.29</v>
      </c>
      <c r="L133" s="4">
        <v>1.2</v>
      </c>
      <c r="M133" s="4">
        <v>6</v>
      </c>
      <c r="N133" s="4">
        <v>373</v>
      </c>
      <c r="O133" s="4" t="str">
        <f t="shared" si="4"/>
        <v>EMI</v>
      </c>
      <c r="P133" s="5">
        <f t="shared" si="5"/>
        <v>97977.792000000001</v>
      </c>
    </row>
    <row r="134" spans="1:16" x14ac:dyDescent="0.25">
      <c r="A134" s="4">
        <v>2020</v>
      </c>
      <c r="B134" s="4">
        <v>9</v>
      </c>
      <c r="C134" s="12" t="s">
        <v>33</v>
      </c>
      <c r="D134" s="4" t="s">
        <v>13</v>
      </c>
      <c r="E134" s="4" t="s">
        <v>18</v>
      </c>
      <c r="F134" s="4" t="s">
        <v>18</v>
      </c>
      <c r="G134" s="5">
        <v>83785</v>
      </c>
      <c r="H134" s="5">
        <v>446419</v>
      </c>
      <c r="I134" s="4">
        <v>209</v>
      </c>
      <c r="J134" s="4">
        <v>0.97</v>
      </c>
      <c r="K134" s="4">
        <v>6.29</v>
      </c>
      <c r="L134" s="4">
        <v>1.2</v>
      </c>
      <c r="M134" s="4">
        <v>8</v>
      </c>
      <c r="N134" s="4">
        <v>753</v>
      </c>
      <c r="O134" s="4" t="str">
        <f t="shared" si="4"/>
        <v>EMI</v>
      </c>
      <c r="P134" s="5">
        <f t="shared" si="5"/>
        <v>84790.42</v>
      </c>
    </row>
    <row r="135" spans="1:16" x14ac:dyDescent="0.25">
      <c r="A135" s="4">
        <v>2016</v>
      </c>
      <c r="B135" s="4">
        <v>7</v>
      </c>
      <c r="C135" s="12" t="s">
        <v>30</v>
      </c>
      <c r="D135" s="4" t="s">
        <v>29</v>
      </c>
      <c r="E135" s="4" t="s">
        <v>14</v>
      </c>
      <c r="F135" s="4" t="s">
        <v>21</v>
      </c>
      <c r="G135" s="5">
        <v>35507</v>
      </c>
      <c r="H135" s="5">
        <v>241313</v>
      </c>
      <c r="I135" s="4">
        <v>380</v>
      </c>
      <c r="J135" s="4">
        <v>0.97</v>
      </c>
      <c r="K135" s="4">
        <v>6.29</v>
      </c>
      <c r="L135" s="4">
        <v>1.2</v>
      </c>
      <c r="M135" s="4">
        <v>6</v>
      </c>
      <c r="N135" s="4">
        <v>1169</v>
      </c>
      <c r="O135" s="4" t="str">
        <f t="shared" si="4"/>
        <v>EMI</v>
      </c>
      <c r="P135" s="5">
        <f t="shared" si="5"/>
        <v>35933.084000000003</v>
      </c>
    </row>
    <row r="136" spans="1:16" x14ac:dyDescent="0.25">
      <c r="A136" s="4">
        <v>2024</v>
      </c>
      <c r="B136" s="4">
        <v>3</v>
      </c>
      <c r="C136" s="12" t="s">
        <v>26</v>
      </c>
      <c r="D136" s="4" t="s">
        <v>29</v>
      </c>
      <c r="E136" s="4" t="s">
        <v>18</v>
      </c>
      <c r="F136" s="4" t="s">
        <v>18</v>
      </c>
      <c r="G136" s="5">
        <v>101972</v>
      </c>
      <c r="H136" s="5">
        <v>445460</v>
      </c>
      <c r="I136" s="4">
        <v>350</v>
      </c>
      <c r="J136" s="4">
        <v>0.97</v>
      </c>
      <c r="K136" s="4">
        <v>6.29</v>
      </c>
      <c r="L136" s="4">
        <v>1.2</v>
      </c>
      <c r="M136" s="4">
        <v>5</v>
      </c>
      <c r="N136" s="4">
        <v>780</v>
      </c>
      <c r="O136" s="4" t="str">
        <f t="shared" si="4"/>
        <v>EMI</v>
      </c>
      <c r="P136" s="5">
        <f t="shared" si="5"/>
        <v>103195.664</v>
      </c>
    </row>
    <row r="137" spans="1:16" x14ac:dyDescent="0.25">
      <c r="A137" s="4">
        <v>2023</v>
      </c>
      <c r="B137" s="4">
        <v>8</v>
      </c>
      <c r="C137" s="12" t="s">
        <v>34</v>
      </c>
      <c r="D137" s="4" t="s">
        <v>37</v>
      </c>
      <c r="E137" s="4" t="s">
        <v>17</v>
      </c>
      <c r="F137" s="4" t="s">
        <v>21</v>
      </c>
      <c r="G137" s="5">
        <v>62151</v>
      </c>
      <c r="H137" s="5">
        <v>410466</v>
      </c>
      <c r="I137" s="4">
        <v>257</v>
      </c>
      <c r="J137" s="4">
        <v>0.97</v>
      </c>
      <c r="K137" s="4">
        <v>6.29</v>
      </c>
      <c r="L137" s="4">
        <v>1.2</v>
      </c>
      <c r="M137" s="4">
        <v>8</v>
      </c>
      <c r="N137" s="4">
        <v>756</v>
      </c>
      <c r="O137" s="4" t="str">
        <f t="shared" si="4"/>
        <v>EMI</v>
      </c>
      <c r="P137" s="5">
        <f t="shared" si="5"/>
        <v>62896.811999999998</v>
      </c>
    </row>
    <row r="138" spans="1:16" x14ac:dyDescent="0.25">
      <c r="A138" s="4">
        <v>2019</v>
      </c>
      <c r="B138" s="4">
        <v>7</v>
      </c>
      <c r="C138" s="12" t="s">
        <v>12</v>
      </c>
      <c r="D138" s="4" t="s">
        <v>31</v>
      </c>
      <c r="E138" s="4" t="s">
        <v>18</v>
      </c>
      <c r="F138" s="4" t="s">
        <v>18</v>
      </c>
      <c r="G138" s="5">
        <v>46618</v>
      </c>
      <c r="H138" s="5">
        <v>380763</v>
      </c>
      <c r="I138" s="4">
        <v>285</v>
      </c>
      <c r="J138" s="4">
        <v>0.97</v>
      </c>
      <c r="K138" s="4">
        <v>6.29</v>
      </c>
      <c r="L138" s="4">
        <v>1.2</v>
      </c>
      <c r="M138" s="4">
        <v>2</v>
      </c>
      <c r="N138" s="4">
        <v>848</v>
      </c>
      <c r="O138" s="4" t="str">
        <f t="shared" si="4"/>
        <v>Discount</v>
      </c>
      <c r="P138" s="5">
        <f t="shared" si="5"/>
        <v>41956.200000000004</v>
      </c>
    </row>
    <row r="139" spans="1:16" x14ac:dyDescent="0.25">
      <c r="A139" s="4">
        <v>2020</v>
      </c>
      <c r="B139" s="4">
        <v>11</v>
      </c>
      <c r="C139" s="12" t="s">
        <v>28</v>
      </c>
      <c r="D139" s="4" t="s">
        <v>22</v>
      </c>
      <c r="E139" s="4" t="s">
        <v>17</v>
      </c>
      <c r="F139" s="4" t="s">
        <v>15</v>
      </c>
      <c r="G139" s="5">
        <v>109286</v>
      </c>
      <c r="H139" s="5">
        <v>71584</v>
      </c>
      <c r="I139" s="4">
        <v>273</v>
      </c>
      <c r="J139" s="4">
        <v>0.97</v>
      </c>
      <c r="K139" s="4">
        <v>6.29</v>
      </c>
      <c r="L139" s="4">
        <v>1.2</v>
      </c>
      <c r="M139" s="4">
        <v>1</v>
      </c>
      <c r="N139" s="4">
        <v>911</v>
      </c>
      <c r="O139" s="4" t="str">
        <f t="shared" si="4"/>
        <v>Full</v>
      </c>
      <c r="P139" s="5">
        <f t="shared" si="5"/>
        <v>109286</v>
      </c>
    </row>
    <row r="140" spans="1:16" x14ac:dyDescent="0.25">
      <c r="A140" s="4">
        <v>2018</v>
      </c>
      <c r="B140" s="4">
        <v>8</v>
      </c>
      <c r="C140" s="12" t="s">
        <v>26</v>
      </c>
      <c r="D140" s="4" t="s">
        <v>27</v>
      </c>
      <c r="E140" s="4" t="s">
        <v>17</v>
      </c>
      <c r="F140" s="4" t="s">
        <v>25</v>
      </c>
      <c r="G140" s="5">
        <v>51122</v>
      </c>
      <c r="H140" s="5">
        <v>320665</v>
      </c>
      <c r="I140" s="4">
        <v>67</v>
      </c>
      <c r="J140" s="4">
        <v>0.97</v>
      </c>
      <c r="K140" s="4">
        <v>6.29</v>
      </c>
      <c r="L140" s="4">
        <v>1.2</v>
      </c>
      <c r="M140" s="4">
        <v>1</v>
      </c>
      <c r="N140" s="4">
        <v>530</v>
      </c>
      <c r="O140" s="4" t="str">
        <f t="shared" si="4"/>
        <v>Discount</v>
      </c>
      <c r="P140" s="5">
        <f t="shared" si="5"/>
        <v>46009.8</v>
      </c>
    </row>
    <row r="141" spans="1:16" x14ac:dyDescent="0.25">
      <c r="A141" s="4">
        <v>2024</v>
      </c>
      <c r="B141" s="4">
        <v>6</v>
      </c>
      <c r="C141" s="12" t="s">
        <v>36</v>
      </c>
      <c r="D141" s="4" t="s">
        <v>20</v>
      </c>
      <c r="E141" s="4" t="s">
        <v>14</v>
      </c>
      <c r="F141" s="4" t="s">
        <v>15</v>
      </c>
      <c r="G141" s="5">
        <v>42354</v>
      </c>
      <c r="H141" s="5">
        <v>231089</v>
      </c>
      <c r="I141" s="4">
        <v>311</v>
      </c>
      <c r="J141" s="4">
        <v>0.97</v>
      </c>
      <c r="K141" s="4">
        <v>6.29</v>
      </c>
      <c r="L141" s="4">
        <v>1.2</v>
      </c>
      <c r="M141" s="4">
        <v>4</v>
      </c>
      <c r="N141" s="4">
        <v>989</v>
      </c>
      <c r="O141" s="4" t="str">
        <f t="shared" si="4"/>
        <v>EMI</v>
      </c>
      <c r="P141" s="5">
        <f t="shared" si="5"/>
        <v>42862.248</v>
      </c>
    </row>
    <row r="142" spans="1:16" x14ac:dyDescent="0.25">
      <c r="A142" s="4">
        <v>2021</v>
      </c>
      <c r="B142" s="4">
        <v>9</v>
      </c>
      <c r="C142" s="12" t="s">
        <v>33</v>
      </c>
      <c r="D142" s="4" t="s">
        <v>22</v>
      </c>
      <c r="E142" s="4" t="s">
        <v>14</v>
      </c>
      <c r="F142" s="4" t="s">
        <v>25</v>
      </c>
      <c r="G142" s="5">
        <v>65979</v>
      </c>
      <c r="H142" s="5">
        <v>345685</v>
      </c>
      <c r="I142" s="4">
        <v>40</v>
      </c>
      <c r="J142" s="4">
        <v>0.97</v>
      </c>
      <c r="K142" s="4">
        <v>6.29</v>
      </c>
      <c r="L142" s="4">
        <v>1.2</v>
      </c>
      <c r="M142" s="4">
        <v>6</v>
      </c>
      <c r="N142" s="4">
        <v>203</v>
      </c>
      <c r="O142" s="4" t="str">
        <f t="shared" si="4"/>
        <v>EMI</v>
      </c>
      <c r="P142" s="5">
        <f t="shared" si="5"/>
        <v>66770.748000000007</v>
      </c>
    </row>
    <row r="143" spans="1:16" x14ac:dyDescent="0.25">
      <c r="A143" s="4">
        <v>2023</v>
      </c>
      <c r="B143" s="4">
        <v>5</v>
      </c>
      <c r="C143" s="12" t="s">
        <v>23</v>
      </c>
      <c r="D143" s="4" t="s">
        <v>37</v>
      </c>
      <c r="E143" s="4" t="s">
        <v>17</v>
      </c>
      <c r="F143" s="4" t="s">
        <v>25</v>
      </c>
      <c r="G143" s="5">
        <v>114376</v>
      </c>
      <c r="H143" s="5">
        <v>79063</v>
      </c>
      <c r="I143" s="4">
        <v>258</v>
      </c>
      <c r="J143" s="4">
        <v>0.97</v>
      </c>
      <c r="K143" s="4">
        <v>6.29</v>
      </c>
      <c r="L143" s="4">
        <v>1.2</v>
      </c>
      <c r="M143" s="4">
        <v>9</v>
      </c>
      <c r="N143" s="4">
        <v>685</v>
      </c>
      <c r="O143" s="4" t="str">
        <f t="shared" si="4"/>
        <v>EMI</v>
      </c>
      <c r="P143" s="5">
        <f t="shared" si="5"/>
        <v>115748.512</v>
      </c>
    </row>
    <row r="144" spans="1:16" x14ac:dyDescent="0.25">
      <c r="A144" s="4">
        <v>2021</v>
      </c>
      <c r="B144" s="4">
        <v>3</v>
      </c>
      <c r="C144" s="12" t="s">
        <v>34</v>
      </c>
      <c r="D144" s="4" t="s">
        <v>20</v>
      </c>
      <c r="E144" s="4" t="s">
        <v>18</v>
      </c>
      <c r="F144" s="4" t="s">
        <v>21</v>
      </c>
      <c r="G144" s="5">
        <v>87774</v>
      </c>
      <c r="H144" s="5">
        <v>120268</v>
      </c>
      <c r="I144" s="4">
        <v>102</v>
      </c>
      <c r="J144" s="4">
        <v>0.97</v>
      </c>
      <c r="K144" s="4">
        <v>6.29</v>
      </c>
      <c r="L144" s="4">
        <v>1.2</v>
      </c>
      <c r="M144" s="4">
        <v>1</v>
      </c>
      <c r="N144" s="4">
        <v>408</v>
      </c>
      <c r="O144" s="4" t="str">
        <f t="shared" si="4"/>
        <v>Full</v>
      </c>
      <c r="P144" s="5">
        <f t="shared" si="5"/>
        <v>87774</v>
      </c>
    </row>
    <row r="145" spans="1:16" x14ac:dyDescent="0.25">
      <c r="A145" s="4">
        <v>2015</v>
      </c>
      <c r="B145" s="4">
        <v>3</v>
      </c>
      <c r="C145" s="12" t="s">
        <v>28</v>
      </c>
      <c r="D145" s="4" t="s">
        <v>31</v>
      </c>
      <c r="E145" s="4" t="s">
        <v>17</v>
      </c>
      <c r="F145" s="4" t="s">
        <v>25</v>
      </c>
      <c r="G145" s="5">
        <v>40037</v>
      </c>
      <c r="H145" s="5">
        <v>306306</v>
      </c>
      <c r="I145" s="4">
        <v>274</v>
      </c>
      <c r="J145" s="4">
        <v>0.97</v>
      </c>
      <c r="K145" s="4">
        <v>6.29</v>
      </c>
      <c r="L145" s="4">
        <v>1.2</v>
      </c>
      <c r="M145" s="4">
        <v>1</v>
      </c>
      <c r="N145" s="4">
        <v>762</v>
      </c>
      <c r="O145" s="4" t="str">
        <f t="shared" si="4"/>
        <v>Discount</v>
      </c>
      <c r="P145" s="5">
        <f t="shared" si="5"/>
        <v>36033.300000000003</v>
      </c>
    </row>
    <row r="146" spans="1:16" x14ac:dyDescent="0.25">
      <c r="A146" s="4">
        <v>2015</v>
      </c>
      <c r="B146" s="4">
        <v>1</v>
      </c>
      <c r="C146" s="12" t="s">
        <v>26</v>
      </c>
      <c r="D146" s="4" t="s">
        <v>37</v>
      </c>
      <c r="E146" s="4" t="s">
        <v>17</v>
      </c>
      <c r="F146" s="4" t="s">
        <v>15</v>
      </c>
      <c r="G146" s="5">
        <v>63633</v>
      </c>
      <c r="H146" s="5">
        <v>176218</v>
      </c>
      <c r="I146" s="4">
        <v>280</v>
      </c>
      <c r="J146" s="4">
        <v>0.97</v>
      </c>
      <c r="K146" s="4">
        <v>6.29</v>
      </c>
      <c r="L146" s="4">
        <v>1.2</v>
      </c>
      <c r="M146" s="4">
        <v>5</v>
      </c>
      <c r="N146" s="4">
        <v>941</v>
      </c>
      <c r="O146" s="4" t="str">
        <f t="shared" si="4"/>
        <v>EMI</v>
      </c>
      <c r="P146" s="5">
        <f t="shared" si="5"/>
        <v>64396.595999999998</v>
      </c>
    </row>
    <row r="147" spans="1:16" x14ac:dyDescent="0.25">
      <c r="A147" s="4">
        <v>2023</v>
      </c>
      <c r="B147" s="4">
        <v>12</v>
      </c>
      <c r="C147" s="12" t="s">
        <v>33</v>
      </c>
      <c r="D147" s="4" t="s">
        <v>20</v>
      </c>
      <c r="E147" s="4" t="s">
        <v>18</v>
      </c>
      <c r="F147" s="4" t="s">
        <v>15</v>
      </c>
      <c r="G147" s="5">
        <v>59495</v>
      </c>
      <c r="H147" s="5">
        <v>430350</v>
      </c>
      <c r="I147" s="4">
        <v>103</v>
      </c>
      <c r="J147" s="4">
        <v>0.97</v>
      </c>
      <c r="K147" s="4">
        <v>6.29</v>
      </c>
      <c r="L147" s="4">
        <v>1.2</v>
      </c>
      <c r="M147" s="4">
        <v>10</v>
      </c>
      <c r="N147" s="4">
        <v>425</v>
      </c>
      <c r="O147" s="4" t="str">
        <f t="shared" si="4"/>
        <v>EMI</v>
      </c>
      <c r="P147" s="5">
        <f t="shared" si="5"/>
        <v>60208.94</v>
      </c>
    </row>
    <row r="148" spans="1:16" x14ac:dyDescent="0.25">
      <c r="A148" s="4">
        <v>2023</v>
      </c>
      <c r="B148" s="4">
        <v>8</v>
      </c>
      <c r="C148" s="12" t="s">
        <v>19</v>
      </c>
      <c r="D148" s="4" t="s">
        <v>31</v>
      </c>
      <c r="E148" s="4" t="s">
        <v>18</v>
      </c>
      <c r="F148" s="4" t="s">
        <v>18</v>
      </c>
      <c r="G148" s="5">
        <v>99550</v>
      </c>
      <c r="H148" s="5">
        <v>274126</v>
      </c>
      <c r="I148" s="4">
        <v>163</v>
      </c>
      <c r="J148" s="4">
        <v>0.97</v>
      </c>
      <c r="K148" s="4">
        <v>6.29</v>
      </c>
      <c r="L148" s="4">
        <v>1.2</v>
      </c>
      <c r="M148" s="4">
        <v>5</v>
      </c>
      <c r="N148" s="4">
        <v>596</v>
      </c>
      <c r="O148" s="4" t="str">
        <f t="shared" si="4"/>
        <v>EMI</v>
      </c>
      <c r="P148" s="5">
        <f t="shared" si="5"/>
        <v>100744.6</v>
      </c>
    </row>
    <row r="149" spans="1:16" x14ac:dyDescent="0.25">
      <c r="A149" s="4">
        <v>2018</v>
      </c>
      <c r="B149" s="4">
        <v>2</v>
      </c>
      <c r="C149" s="12" t="s">
        <v>36</v>
      </c>
      <c r="D149" s="4" t="s">
        <v>24</v>
      </c>
      <c r="E149" s="4" t="s">
        <v>18</v>
      </c>
      <c r="F149" s="4" t="s">
        <v>15</v>
      </c>
      <c r="G149" s="5">
        <v>116384</v>
      </c>
      <c r="H149" s="5">
        <v>220635</v>
      </c>
      <c r="I149" s="4">
        <v>294</v>
      </c>
      <c r="J149" s="4">
        <v>0.97</v>
      </c>
      <c r="K149" s="4">
        <v>6.29</v>
      </c>
      <c r="L149" s="4">
        <v>1.2</v>
      </c>
      <c r="M149" s="4">
        <v>5</v>
      </c>
      <c r="N149" s="4">
        <v>769</v>
      </c>
      <c r="O149" s="4" t="str">
        <f t="shared" si="4"/>
        <v>EMI</v>
      </c>
      <c r="P149" s="5">
        <f t="shared" si="5"/>
        <v>117780.60800000001</v>
      </c>
    </row>
    <row r="150" spans="1:16" x14ac:dyDescent="0.25">
      <c r="A150" s="4">
        <v>2023</v>
      </c>
      <c r="B150" s="4">
        <v>3</v>
      </c>
      <c r="C150" s="12" t="s">
        <v>34</v>
      </c>
      <c r="D150" s="4" t="s">
        <v>22</v>
      </c>
      <c r="E150" s="4" t="s">
        <v>18</v>
      </c>
      <c r="F150" s="4" t="s">
        <v>18</v>
      </c>
      <c r="G150" s="5">
        <v>71483</v>
      </c>
      <c r="H150" s="5">
        <v>220824</v>
      </c>
      <c r="I150" s="4">
        <v>89</v>
      </c>
      <c r="J150" s="4">
        <v>0.97</v>
      </c>
      <c r="K150" s="4">
        <v>6.29</v>
      </c>
      <c r="L150" s="4">
        <v>1.2</v>
      </c>
      <c r="M150" s="4">
        <v>10</v>
      </c>
      <c r="N150" s="4">
        <v>543</v>
      </c>
      <c r="O150" s="4" t="str">
        <f t="shared" si="4"/>
        <v>EMI</v>
      </c>
      <c r="P150" s="5">
        <f t="shared" si="5"/>
        <v>72340.796000000002</v>
      </c>
    </row>
    <row r="151" spans="1:16" x14ac:dyDescent="0.25">
      <c r="A151" s="4">
        <v>2017</v>
      </c>
      <c r="B151" s="4">
        <v>8</v>
      </c>
      <c r="C151" s="12" t="s">
        <v>30</v>
      </c>
      <c r="D151" s="4" t="s">
        <v>22</v>
      </c>
      <c r="E151" s="4" t="s">
        <v>17</v>
      </c>
      <c r="F151" s="4" t="s">
        <v>25</v>
      </c>
      <c r="G151" s="5">
        <v>108373</v>
      </c>
      <c r="H151" s="5">
        <v>276305</v>
      </c>
      <c r="I151" s="4">
        <v>301</v>
      </c>
      <c r="J151" s="4">
        <v>0.97</v>
      </c>
      <c r="K151" s="4">
        <v>6.29</v>
      </c>
      <c r="L151" s="4">
        <v>1.2</v>
      </c>
      <c r="M151" s="4">
        <v>6</v>
      </c>
      <c r="N151" s="4">
        <v>997</v>
      </c>
      <c r="O151" s="4" t="str">
        <f t="shared" si="4"/>
        <v>EMI</v>
      </c>
      <c r="P151" s="5">
        <f t="shared" si="5"/>
        <v>109673.476</v>
      </c>
    </row>
    <row r="152" spans="1:16" x14ac:dyDescent="0.25">
      <c r="A152" s="4">
        <v>2021</v>
      </c>
      <c r="B152" s="4">
        <v>8</v>
      </c>
      <c r="C152" s="12" t="s">
        <v>19</v>
      </c>
      <c r="D152" s="4" t="s">
        <v>27</v>
      </c>
      <c r="E152" s="4" t="s">
        <v>17</v>
      </c>
      <c r="F152" s="4" t="s">
        <v>15</v>
      </c>
      <c r="G152" s="5">
        <v>69069</v>
      </c>
      <c r="H152" s="5">
        <v>445783</v>
      </c>
      <c r="I152" s="4">
        <v>93</v>
      </c>
      <c r="J152" s="4">
        <v>0.97</v>
      </c>
      <c r="K152" s="4">
        <v>6.29</v>
      </c>
      <c r="L152" s="4">
        <v>1.2</v>
      </c>
      <c r="M152" s="4">
        <v>8</v>
      </c>
      <c r="N152" s="4">
        <v>357</v>
      </c>
      <c r="O152" s="4" t="str">
        <f t="shared" si="4"/>
        <v>EMI</v>
      </c>
      <c r="P152" s="5">
        <f t="shared" si="5"/>
        <v>69897.827999999994</v>
      </c>
    </row>
    <row r="153" spans="1:16" x14ac:dyDescent="0.25">
      <c r="A153" s="4">
        <v>2020</v>
      </c>
      <c r="B153" s="4">
        <v>11</v>
      </c>
      <c r="C153" s="12" t="s">
        <v>28</v>
      </c>
      <c r="D153" s="4" t="s">
        <v>31</v>
      </c>
      <c r="E153" s="4" t="s">
        <v>14</v>
      </c>
      <c r="F153" s="4" t="s">
        <v>25</v>
      </c>
      <c r="G153" s="5">
        <v>42370</v>
      </c>
      <c r="H153" s="5">
        <v>459337</v>
      </c>
      <c r="I153" s="4">
        <v>374</v>
      </c>
      <c r="J153" s="4">
        <v>0.97</v>
      </c>
      <c r="K153" s="4">
        <v>6.29</v>
      </c>
      <c r="L153" s="4">
        <v>1.2</v>
      </c>
      <c r="M153" s="4">
        <v>3</v>
      </c>
      <c r="N153" s="4">
        <v>1043</v>
      </c>
      <c r="O153" s="4" t="str">
        <f t="shared" si="4"/>
        <v>EMI</v>
      </c>
      <c r="P153" s="5">
        <f t="shared" si="5"/>
        <v>42878.44</v>
      </c>
    </row>
    <row r="154" spans="1:16" x14ac:dyDescent="0.25">
      <c r="A154" s="4">
        <v>2022</v>
      </c>
      <c r="B154" s="4">
        <v>4</v>
      </c>
      <c r="C154" s="12" t="s">
        <v>34</v>
      </c>
      <c r="D154" s="4" t="s">
        <v>13</v>
      </c>
      <c r="E154" s="4" t="s">
        <v>17</v>
      </c>
      <c r="F154" s="4" t="s">
        <v>15</v>
      </c>
      <c r="G154" s="5">
        <v>106947</v>
      </c>
      <c r="H154" s="5">
        <v>444890</v>
      </c>
      <c r="I154" s="4">
        <v>383</v>
      </c>
      <c r="J154" s="4">
        <v>0.97</v>
      </c>
      <c r="K154" s="4">
        <v>6.29</v>
      </c>
      <c r="L154" s="4">
        <v>1.2</v>
      </c>
      <c r="M154" s="4">
        <v>9</v>
      </c>
      <c r="N154" s="4">
        <v>849</v>
      </c>
      <c r="O154" s="4" t="str">
        <f t="shared" si="4"/>
        <v>EMI</v>
      </c>
      <c r="P154" s="5">
        <f t="shared" si="5"/>
        <v>108230.364</v>
      </c>
    </row>
    <row r="155" spans="1:16" x14ac:dyDescent="0.25">
      <c r="A155" s="4">
        <v>2023</v>
      </c>
      <c r="B155" s="4">
        <v>4</v>
      </c>
      <c r="C155" s="12" t="s">
        <v>19</v>
      </c>
      <c r="D155" s="4" t="s">
        <v>24</v>
      </c>
      <c r="E155" s="4" t="s">
        <v>18</v>
      </c>
      <c r="F155" s="4" t="s">
        <v>15</v>
      </c>
      <c r="G155" s="5">
        <v>74133</v>
      </c>
      <c r="H155" s="5">
        <v>126411</v>
      </c>
      <c r="I155" s="4">
        <v>46</v>
      </c>
      <c r="J155" s="4">
        <v>0.97</v>
      </c>
      <c r="K155" s="4">
        <v>6.29</v>
      </c>
      <c r="L155" s="4">
        <v>1.2</v>
      </c>
      <c r="M155" s="4">
        <v>1</v>
      </c>
      <c r="N155" s="4">
        <v>122</v>
      </c>
      <c r="O155" s="4" t="str">
        <f t="shared" si="4"/>
        <v>Full</v>
      </c>
      <c r="P155" s="5">
        <f t="shared" si="5"/>
        <v>74133</v>
      </c>
    </row>
    <row r="156" spans="1:16" x14ac:dyDescent="0.25">
      <c r="A156" s="4">
        <v>2019</v>
      </c>
      <c r="B156" s="4">
        <v>5</v>
      </c>
      <c r="C156" s="12" t="s">
        <v>36</v>
      </c>
      <c r="D156" s="4" t="s">
        <v>32</v>
      </c>
      <c r="E156" s="4" t="s">
        <v>14</v>
      </c>
      <c r="F156" s="4" t="s">
        <v>18</v>
      </c>
      <c r="G156" s="5">
        <v>35692</v>
      </c>
      <c r="H156" s="5">
        <v>159876</v>
      </c>
      <c r="I156" s="4">
        <v>351</v>
      </c>
      <c r="J156" s="4">
        <v>0.97</v>
      </c>
      <c r="K156" s="4">
        <v>6.29</v>
      </c>
      <c r="L156" s="4">
        <v>1.2</v>
      </c>
      <c r="M156" s="4">
        <v>4</v>
      </c>
      <c r="N156" s="4">
        <v>916</v>
      </c>
      <c r="O156" s="4" t="str">
        <f t="shared" si="4"/>
        <v>EMI</v>
      </c>
      <c r="P156" s="5">
        <f t="shared" si="5"/>
        <v>36120.304000000004</v>
      </c>
    </row>
    <row r="157" spans="1:16" x14ac:dyDescent="0.25">
      <c r="A157" s="4">
        <v>2015</v>
      </c>
      <c r="B157" s="4">
        <v>6</v>
      </c>
      <c r="C157" s="12" t="s">
        <v>30</v>
      </c>
      <c r="D157" s="4" t="s">
        <v>20</v>
      </c>
      <c r="E157" s="4" t="s">
        <v>18</v>
      </c>
      <c r="F157" s="4" t="s">
        <v>25</v>
      </c>
      <c r="G157" s="5">
        <v>63926</v>
      </c>
      <c r="H157" s="5">
        <v>248153</v>
      </c>
      <c r="I157" s="4">
        <v>336</v>
      </c>
      <c r="J157" s="4">
        <v>0.97</v>
      </c>
      <c r="K157" s="4">
        <v>6.29</v>
      </c>
      <c r="L157" s="4">
        <v>1.2</v>
      </c>
      <c r="M157" s="4">
        <v>9</v>
      </c>
      <c r="N157" s="4">
        <v>882</v>
      </c>
      <c r="O157" s="4" t="str">
        <f t="shared" si="4"/>
        <v>EMI</v>
      </c>
      <c r="P157" s="5">
        <f t="shared" si="5"/>
        <v>64693.112000000001</v>
      </c>
    </row>
    <row r="158" spans="1:16" x14ac:dyDescent="0.25">
      <c r="A158" s="4">
        <v>2017</v>
      </c>
      <c r="B158" s="4">
        <v>5</v>
      </c>
      <c r="C158" s="12" t="s">
        <v>19</v>
      </c>
      <c r="D158" s="4" t="s">
        <v>24</v>
      </c>
      <c r="E158" s="4" t="s">
        <v>17</v>
      </c>
      <c r="F158" s="4" t="s">
        <v>15</v>
      </c>
      <c r="G158" s="5">
        <v>108984</v>
      </c>
      <c r="H158" s="5">
        <v>210212</v>
      </c>
      <c r="I158" s="4">
        <v>241</v>
      </c>
      <c r="J158" s="4">
        <v>0.97</v>
      </c>
      <c r="K158" s="4">
        <v>6.29</v>
      </c>
      <c r="L158" s="4">
        <v>1.2</v>
      </c>
      <c r="M158" s="4">
        <v>8</v>
      </c>
      <c r="N158" s="4">
        <v>472</v>
      </c>
      <c r="O158" s="4" t="str">
        <f t="shared" si="4"/>
        <v>EMI</v>
      </c>
      <c r="P158" s="5">
        <f t="shared" si="5"/>
        <v>110291.808</v>
      </c>
    </row>
    <row r="159" spans="1:16" x14ac:dyDescent="0.25">
      <c r="A159" s="4">
        <v>2024</v>
      </c>
      <c r="B159" s="4">
        <v>7</v>
      </c>
      <c r="C159" s="12" t="s">
        <v>35</v>
      </c>
      <c r="D159" s="4" t="s">
        <v>31</v>
      </c>
      <c r="E159" s="4" t="s">
        <v>14</v>
      </c>
      <c r="F159" s="4" t="s">
        <v>21</v>
      </c>
      <c r="G159" s="5">
        <v>78390</v>
      </c>
      <c r="H159" s="5">
        <v>190399</v>
      </c>
      <c r="I159" s="4">
        <v>102</v>
      </c>
      <c r="J159" s="4">
        <v>0.97</v>
      </c>
      <c r="K159" s="4">
        <v>6.29</v>
      </c>
      <c r="L159" s="4">
        <v>1.2</v>
      </c>
      <c r="M159" s="4">
        <v>10</v>
      </c>
      <c r="N159" s="4">
        <v>448</v>
      </c>
      <c r="O159" s="4" t="str">
        <f t="shared" si="4"/>
        <v>EMI</v>
      </c>
      <c r="P159" s="5">
        <f t="shared" si="5"/>
        <v>79330.680000000008</v>
      </c>
    </row>
    <row r="160" spans="1:16" x14ac:dyDescent="0.25">
      <c r="A160" s="4">
        <v>2022</v>
      </c>
      <c r="B160" s="4">
        <v>2</v>
      </c>
      <c r="C160" s="12" t="s">
        <v>30</v>
      </c>
      <c r="D160" s="4" t="s">
        <v>16</v>
      </c>
      <c r="E160" s="4" t="s">
        <v>18</v>
      </c>
      <c r="F160" s="4" t="s">
        <v>25</v>
      </c>
      <c r="G160" s="5">
        <v>84593</v>
      </c>
      <c r="H160" s="5">
        <v>73331</v>
      </c>
      <c r="I160" s="4">
        <v>345</v>
      </c>
      <c r="J160" s="4">
        <v>0.97</v>
      </c>
      <c r="K160" s="4">
        <v>6.29</v>
      </c>
      <c r="L160" s="4">
        <v>1.2</v>
      </c>
      <c r="M160" s="4">
        <v>9</v>
      </c>
      <c r="N160" s="4">
        <v>956</v>
      </c>
      <c r="O160" s="4" t="str">
        <f t="shared" si="4"/>
        <v>EMI</v>
      </c>
      <c r="P160" s="5">
        <f t="shared" si="5"/>
        <v>85608.115999999995</v>
      </c>
    </row>
    <row r="161" spans="1:16" x14ac:dyDescent="0.25">
      <c r="A161" s="4">
        <v>2020</v>
      </c>
      <c r="B161" s="4">
        <v>7</v>
      </c>
      <c r="C161" s="12" t="s">
        <v>28</v>
      </c>
      <c r="D161" s="4" t="s">
        <v>20</v>
      </c>
      <c r="E161" s="4" t="s">
        <v>14</v>
      </c>
      <c r="F161" s="4" t="s">
        <v>25</v>
      </c>
      <c r="G161" s="5">
        <v>110609</v>
      </c>
      <c r="H161" s="5">
        <v>73004</v>
      </c>
      <c r="I161" s="4">
        <v>111</v>
      </c>
      <c r="J161" s="4">
        <v>0.97</v>
      </c>
      <c r="K161" s="4">
        <v>6.29</v>
      </c>
      <c r="L161" s="4">
        <v>1.2</v>
      </c>
      <c r="M161" s="4">
        <v>1</v>
      </c>
      <c r="N161" s="4">
        <v>628</v>
      </c>
      <c r="O161" s="4" t="str">
        <f t="shared" si="4"/>
        <v>Full</v>
      </c>
      <c r="P161" s="5">
        <f t="shared" si="5"/>
        <v>110609</v>
      </c>
    </row>
    <row r="162" spans="1:16" x14ac:dyDescent="0.25">
      <c r="A162" s="4">
        <v>2022</v>
      </c>
      <c r="B162" s="4">
        <v>10</v>
      </c>
      <c r="C162" s="12" t="s">
        <v>36</v>
      </c>
      <c r="D162" s="4" t="s">
        <v>29</v>
      </c>
      <c r="E162" s="4" t="s">
        <v>14</v>
      </c>
      <c r="F162" s="4" t="s">
        <v>25</v>
      </c>
      <c r="G162" s="5">
        <v>40209</v>
      </c>
      <c r="H162" s="5">
        <v>288441</v>
      </c>
      <c r="I162" s="4">
        <v>175</v>
      </c>
      <c r="J162" s="4">
        <v>0.97</v>
      </c>
      <c r="K162" s="4">
        <v>6.29</v>
      </c>
      <c r="L162" s="4">
        <v>1.2</v>
      </c>
      <c r="M162" s="4">
        <v>9</v>
      </c>
      <c r="N162" s="4">
        <v>806</v>
      </c>
      <c r="O162" s="4" t="str">
        <f t="shared" si="4"/>
        <v>EMI</v>
      </c>
      <c r="P162" s="5">
        <f t="shared" si="5"/>
        <v>40691.508000000002</v>
      </c>
    </row>
    <row r="163" spans="1:16" x14ac:dyDescent="0.25">
      <c r="A163" s="4">
        <v>2023</v>
      </c>
      <c r="B163" s="4">
        <v>7</v>
      </c>
      <c r="C163" s="12" t="s">
        <v>33</v>
      </c>
      <c r="D163" s="4" t="s">
        <v>22</v>
      </c>
      <c r="E163" s="4" t="s">
        <v>17</v>
      </c>
      <c r="F163" s="4" t="s">
        <v>18</v>
      </c>
      <c r="G163" s="5">
        <v>41533</v>
      </c>
      <c r="H163" s="5">
        <v>431387</v>
      </c>
      <c r="I163" s="4">
        <v>168</v>
      </c>
      <c r="J163" s="4">
        <v>0.97</v>
      </c>
      <c r="K163" s="4">
        <v>6.29</v>
      </c>
      <c r="L163" s="4">
        <v>1.2</v>
      </c>
      <c r="M163" s="4">
        <v>3</v>
      </c>
      <c r="N163" s="4">
        <v>465</v>
      </c>
      <c r="O163" s="4" t="str">
        <f t="shared" si="4"/>
        <v>EMI</v>
      </c>
      <c r="P163" s="5">
        <f t="shared" si="5"/>
        <v>42031.396000000001</v>
      </c>
    </row>
    <row r="164" spans="1:16" x14ac:dyDescent="0.25">
      <c r="A164" s="4">
        <v>2018</v>
      </c>
      <c r="B164" s="4">
        <v>1</v>
      </c>
      <c r="C164" s="12" t="s">
        <v>23</v>
      </c>
      <c r="D164" s="4" t="s">
        <v>31</v>
      </c>
      <c r="E164" s="4" t="s">
        <v>18</v>
      </c>
      <c r="F164" s="4" t="s">
        <v>21</v>
      </c>
      <c r="G164" s="5">
        <v>42211</v>
      </c>
      <c r="H164" s="5">
        <v>453708</v>
      </c>
      <c r="I164" s="4">
        <v>23</v>
      </c>
      <c r="J164" s="4">
        <v>0.97</v>
      </c>
      <c r="K164" s="4">
        <v>6.29</v>
      </c>
      <c r="L164" s="4">
        <v>1.2</v>
      </c>
      <c r="M164" s="4">
        <v>10</v>
      </c>
      <c r="N164" s="4">
        <v>121</v>
      </c>
      <c r="O164" s="4" t="str">
        <f t="shared" si="4"/>
        <v>EMI</v>
      </c>
      <c r="P164" s="5">
        <f t="shared" si="5"/>
        <v>42717.531999999999</v>
      </c>
    </row>
    <row r="165" spans="1:16" x14ac:dyDescent="0.25">
      <c r="A165" s="4">
        <v>2015</v>
      </c>
      <c r="B165" s="4">
        <v>7</v>
      </c>
      <c r="C165" s="12" t="s">
        <v>23</v>
      </c>
      <c r="D165" s="4" t="s">
        <v>29</v>
      </c>
      <c r="E165" s="4" t="s">
        <v>14</v>
      </c>
      <c r="F165" s="4" t="s">
        <v>25</v>
      </c>
      <c r="G165" s="5">
        <v>44927</v>
      </c>
      <c r="H165" s="5">
        <v>498013</v>
      </c>
      <c r="I165" s="4">
        <v>382</v>
      </c>
      <c r="J165" s="4">
        <v>0.97</v>
      </c>
      <c r="K165" s="4">
        <v>6.29</v>
      </c>
      <c r="L165" s="4">
        <v>1.2</v>
      </c>
      <c r="M165" s="4">
        <v>9</v>
      </c>
      <c r="N165" s="4">
        <v>923</v>
      </c>
      <c r="O165" s="4" t="str">
        <f t="shared" si="4"/>
        <v>EMI</v>
      </c>
      <c r="P165" s="5">
        <f t="shared" si="5"/>
        <v>45466.124000000003</v>
      </c>
    </row>
    <row r="166" spans="1:16" x14ac:dyDescent="0.25">
      <c r="A166" s="4">
        <v>2015</v>
      </c>
      <c r="B166" s="4">
        <v>5</v>
      </c>
      <c r="C166" s="12" t="s">
        <v>23</v>
      </c>
      <c r="D166" s="4" t="s">
        <v>27</v>
      </c>
      <c r="E166" s="4" t="s">
        <v>14</v>
      </c>
      <c r="F166" s="4" t="s">
        <v>15</v>
      </c>
      <c r="G166" s="5">
        <v>112463</v>
      </c>
      <c r="H166" s="5">
        <v>239167</v>
      </c>
      <c r="I166" s="4">
        <v>234</v>
      </c>
      <c r="J166" s="4">
        <v>0.97</v>
      </c>
      <c r="K166" s="4">
        <v>6.29</v>
      </c>
      <c r="L166" s="4">
        <v>1.2</v>
      </c>
      <c r="M166" s="4">
        <v>1</v>
      </c>
      <c r="N166" s="4">
        <v>507</v>
      </c>
      <c r="O166" s="4" t="str">
        <f t="shared" si="4"/>
        <v>Full</v>
      </c>
      <c r="P166" s="5">
        <f t="shared" si="5"/>
        <v>112463</v>
      </c>
    </row>
    <row r="167" spans="1:16" x14ac:dyDescent="0.25">
      <c r="A167" s="4">
        <v>2024</v>
      </c>
      <c r="B167" s="4">
        <v>3</v>
      </c>
      <c r="C167" s="12" t="s">
        <v>34</v>
      </c>
      <c r="D167" s="4" t="s">
        <v>37</v>
      </c>
      <c r="E167" s="4" t="s">
        <v>18</v>
      </c>
      <c r="F167" s="4" t="s">
        <v>15</v>
      </c>
      <c r="G167" s="5">
        <v>59594</v>
      </c>
      <c r="H167" s="5">
        <v>456965</v>
      </c>
      <c r="I167" s="4">
        <v>82</v>
      </c>
      <c r="J167" s="4">
        <v>0.97</v>
      </c>
      <c r="K167" s="4">
        <v>6.29</v>
      </c>
      <c r="L167" s="4">
        <v>1.2</v>
      </c>
      <c r="M167" s="4">
        <v>1</v>
      </c>
      <c r="N167" s="4">
        <v>288</v>
      </c>
      <c r="O167" s="4" t="str">
        <f t="shared" si="4"/>
        <v>Discount</v>
      </c>
      <c r="P167" s="5">
        <f t="shared" si="5"/>
        <v>53634.6</v>
      </c>
    </row>
    <row r="168" spans="1:16" x14ac:dyDescent="0.25">
      <c r="A168" s="4">
        <v>2018</v>
      </c>
      <c r="B168" s="4">
        <v>3</v>
      </c>
      <c r="C168" s="12" t="s">
        <v>28</v>
      </c>
      <c r="D168" s="4" t="s">
        <v>32</v>
      </c>
      <c r="E168" s="4" t="s">
        <v>14</v>
      </c>
      <c r="F168" s="4" t="s">
        <v>18</v>
      </c>
      <c r="G168" s="5">
        <v>109852</v>
      </c>
      <c r="H168" s="5">
        <v>375361</v>
      </c>
      <c r="I168" s="4">
        <v>258</v>
      </c>
      <c r="J168" s="4">
        <v>0.97</v>
      </c>
      <c r="K168" s="4">
        <v>6.29</v>
      </c>
      <c r="L168" s="4">
        <v>1.2</v>
      </c>
      <c r="M168" s="4">
        <v>9</v>
      </c>
      <c r="N168" s="4">
        <v>519</v>
      </c>
      <c r="O168" s="4" t="str">
        <f t="shared" si="4"/>
        <v>EMI</v>
      </c>
      <c r="P168" s="5">
        <f t="shared" si="5"/>
        <v>111170.224</v>
      </c>
    </row>
    <row r="169" spans="1:16" x14ac:dyDescent="0.25">
      <c r="A169" s="4">
        <v>2021</v>
      </c>
      <c r="B169" s="4">
        <v>4</v>
      </c>
      <c r="C169" s="12" t="s">
        <v>36</v>
      </c>
      <c r="D169" s="4" t="s">
        <v>32</v>
      </c>
      <c r="E169" s="4" t="s">
        <v>14</v>
      </c>
      <c r="F169" s="4" t="s">
        <v>15</v>
      </c>
      <c r="G169" s="5">
        <v>112713</v>
      </c>
      <c r="H169" s="5">
        <v>139044</v>
      </c>
      <c r="I169" s="4">
        <v>100</v>
      </c>
      <c r="J169" s="4">
        <v>0.97</v>
      </c>
      <c r="K169" s="4">
        <v>6.29</v>
      </c>
      <c r="L169" s="4">
        <v>1.2</v>
      </c>
      <c r="M169" s="4">
        <v>6</v>
      </c>
      <c r="N169" s="4">
        <v>527</v>
      </c>
      <c r="O169" s="4" t="str">
        <f t="shared" si="4"/>
        <v>EMI</v>
      </c>
      <c r="P169" s="5">
        <f t="shared" si="5"/>
        <v>114065.556</v>
      </c>
    </row>
    <row r="170" spans="1:16" x14ac:dyDescent="0.25">
      <c r="A170" s="4">
        <v>2016</v>
      </c>
      <c r="B170" s="4">
        <v>12</v>
      </c>
      <c r="C170" s="12" t="s">
        <v>30</v>
      </c>
      <c r="D170" s="4" t="s">
        <v>29</v>
      </c>
      <c r="E170" s="4" t="s">
        <v>14</v>
      </c>
      <c r="F170" s="4" t="s">
        <v>25</v>
      </c>
      <c r="G170" s="5">
        <v>111382</v>
      </c>
      <c r="H170" s="5">
        <v>321189</v>
      </c>
      <c r="I170" s="4">
        <v>225</v>
      </c>
      <c r="J170" s="4">
        <v>0.97</v>
      </c>
      <c r="K170" s="4">
        <v>6.29</v>
      </c>
      <c r="L170" s="4">
        <v>1.2</v>
      </c>
      <c r="M170" s="4">
        <v>4</v>
      </c>
      <c r="N170" s="4">
        <v>883</v>
      </c>
      <c r="O170" s="4" t="str">
        <f t="shared" si="4"/>
        <v>EMI</v>
      </c>
      <c r="P170" s="5">
        <f t="shared" si="5"/>
        <v>112718.584</v>
      </c>
    </row>
    <row r="171" spans="1:16" x14ac:dyDescent="0.25">
      <c r="A171" s="4">
        <v>2017</v>
      </c>
      <c r="B171" s="4">
        <v>2</v>
      </c>
      <c r="C171" s="12" t="s">
        <v>34</v>
      </c>
      <c r="D171" s="4" t="s">
        <v>22</v>
      </c>
      <c r="E171" s="4" t="s">
        <v>18</v>
      </c>
      <c r="F171" s="4" t="s">
        <v>15</v>
      </c>
      <c r="G171" s="5">
        <v>42933</v>
      </c>
      <c r="H171" s="5">
        <v>332260</v>
      </c>
      <c r="I171" s="4">
        <v>99</v>
      </c>
      <c r="J171" s="4">
        <v>0.97</v>
      </c>
      <c r="K171" s="4">
        <v>6.29</v>
      </c>
      <c r="L171" s="4">
        <v>1.2</v>
      </c>
      <c r="M171" s="4">
        <v>7</v>
      </c>
      <c r="N171" s="4">
        <v>361</v>
      </c>
      <c r="O171" s="4" t="str">
        <f t="shared" si="4"/>
        <v>EMI</v>
      </c>
      <c r="P171" s="5">
        <f t="shared" si="5"/>
        <v>43448.196000000004</v>
      </c>
    </row>
    <row r="172" spans="1:16" x14ac:dyDescent="0.25">
      <c r="A172" s="4">
        <v>2015</v>
      </c>
      <c r="B172" s="4">
        <v>2</v>
      </c>
      <c r="C172" s="12" t="s">
        <v>28</v>
      </c>
      <c r="D172" s="4" t="s">
        <v>27</v>
      </c>
      <c r="E172" s="4" t="s">
        <v>18</v>
      </c>
      <c r="F172" s="4" t="s">
        <v>25</v>
      </c>
      <c r="G172" s="5">
        <v>75696</v>
      </c>
      <c r="H172" s="5">
        <v>68667</v>
      </c>
      <c r="I172" s="4">
        <v>38</v>
      </c>
      <c r="J172" s="4">
        <v>0.97</v>
      </c>
      <c r="K172" s="4">
        <v>6.29</v>
      </c>
      <c r="L172" s="4">
        <v>1.2</v>
      </c>
      <c r="M172" s="4">
        <v>5</v>
      </c>
      <c r="N172" s="4">
        <v>388</v>
      </c>
      <c r="O172" s="4" t="str">
        <f t="shared" si="4"/>
        <v>EMI</v>
      </c>
      <c r="P172" s="5">
        <f t="shared" si="5"/>
        <v>76604.351999999999</v>
      </c>
    </row>
    <row r="173" spans="1:16" x14ac:dyDescent="0.25">
      <c r="A173" s="4">
        <v>2019</v>
      </c>
      <c r="B173" s="4">
        <v>1</v>
      </c>
      <c r="C173" s="12" t="s">
        <v>33</v>
      </c>
      <c r="D173" s="4" t="s">
        <v>16</v>
      </c>
      <c r="E173" s="4" t="s">
        <v>18</v>
      </c>
      <c r="F173" s="4" t="s">
        <v>15</v>
      </c>
      <c r="G173" s="5">
        <v>100449</v>
      </c>
      <c r="H173" s="5">
        <v>387201</v>
      </c>
      <c r="I173" s="4">
        <v>314</v>
      </c>
      <c r="J173" s="4">
        <v>0.97</v>
      </c>
      <c r="K173" s="4">
        <v>6.29</v>
      </c>
      <c r="L173" s="4">
        <v>1.2</v>
      </c>
      <c r="M173" s="4">
        <v>10</v>
      </c>
      <c r="N173" s="4">
        <v>844</v>
      </c>
      <c r="O173" s="4" t="str">
        <f t="shared" si="4"/>
        <v>EMI</v>
      </c>
      <c r="P173" s="5">
        <f t="shared" si="5"/>
        <v>101654.38800000001</v>
      </c>
    </row>
    <row r="174" spans="1:16" x14ac:dyDescent="0.25">
      <c r="A174" s="4">
        <v>2015</v>
      </c>
      <c r="B174" s="4">
        <v>5</v>
      </c>
      <c r="C174" s="12" t="s">
        <v>35</v>
      </c>
      <c r="D174" s="4" t="s">
        <v>22</v>
      </c>
      <c r="E174" s="4" t="s">
        <v>18</v>
      </c>
      <c r="F174" s="4" t="s">
        <v>21</v>
      </c>
      <c r="G174" s="5">
        <v>102616</v>
      </c>
      <c r="H174" s="5">
        <v>124205</v>
      </c>
      <c r="I174" s="4">
        <v>229</v>
      </c>
      <c r="J174" s="4">
        <v>0.97</v>
      </c>
      <c r="K174" s="4">
        <v>6.29</v>
      </c>
      <c r="L174" s="4">
        <v>1.2</v>
      </c>
      <c r="M174" s="4">
        <v>7</v>
      </c>
      <c r="N174" s="4">
        <v>687</v>
      </c>
      <c r="O174" s="4" t="str">
        <f t="shared" si="4"/>
        <v>EMI</v>
      </c>
      <c r="P174" s="5">
        <f t="shared" si="5"/>
        <v>103847.39200000001</v>
      </c>
    </row>
    <row r="175" spans="1:16" x14ac:dyDescent="0.25">
      <c r="A175" s="4">
        <v>2022</v>
      </c>
      <c r="B175" s="4">
        <v>4</v>
      </c>
      <c r="C175" s="12" t="s">
        <v>36</v>
      </c>
      <c r="D175" s="4" t="s">
        <v>24</v>
      </c>
      <c r="E175" s="4" t="s">
        <v>17</v>
      </c>
      <c r="F175" s="4" t="s">
        <v>18</v>
      </c>
      <c r="G175" s="5">
        <v>41089</v>
      </c>
      <c r="H175" s="5">
        <v>77302</v>
      </c>
      <c r="I175" s="4">
        <v>337</v>
      </c>
      <c r="J175" s="4">
        <v>0.97</v>
      </c>
      <c r="K175" s="4">
        <v>6.29</v>
      </c>
      <c r="L175" s="4">
        <v>1.2</v>
      </c>
      <c r="M175" s="4">
        <v>8</v>
      </c>
      <c r="N175" s="4">
        <v>880</v>
      </c>
      <c r="O175" s="4" t="str">
        <f t="shared" si="4"/>
        <v>EMI</v>
      </c>
      <c r="P175" s="5">
        <f t="shared" si="5"/>
        <v>41582.067999999999</v>
      </c>
    </row>
    <row r="176" spans="1:16" x14ac:dyDescent="0.25">
      <c r="A176" s="4">
        <v>2015</v>
      </c>
      <c r="B176" s="4">
        <v>11</v>
      </c>
      <c r="C176" s="12" t="s">
        <v>23</v>
      </c>
      <c r="D176" s="4" t="s">
        <v>32</v>
      </c>
      <c r="E176" s="4" t="s">
        <v>14</v>
      </c>
      <c r="F176" s="4" t="s">
        <v>18</v>
      </c>
      <c r="G176" s="5">
        <v>91548</v>
      </c>
      <c r="H176" s="5">
        <v>454499</v>
      </c>
      <c r="I176" s="4">
        <v>224</v>
      </c>
      <c r="J176" s="4">
        <v>0.97</v>
      </c>
      <c r="K176" s="4">
        <v>6.29</v>
      </c>
      <c r="L176" s="4">
        <v>1.2</v>
      </c>
      <c r="M176" s="4">
        <v>8</v>
      </c>
      <c r="N176" s="4">
        <v>887</v>
      </c>
      <c r="O176" s="4" t="str">
        <f t="shared" si="4"/>
        <v>EMI</v>
      </c>
      <c r="P176" s="5">
        <f t="shared" si="5"/>
        <v>92646.576000000001</v>
      </c>
    </row>
    <row r="177" spans="1:16" x14ac:dyDescent="0.25">
      <c r="A177" s="4">
        <v>2015</v>
      </c>
      <c r="B177" s="4">
        <v>10</v>
      </c>
      <c r="C177" s="12" t="s">
        <v>19</v>
      </c>
      <c r="D177" s="4" t="s">
        <v>24</v>
      </c>
      <c r="E177" s="4" t="s">
        <v>18</v>
      </c>
      <c r="F177" s="4" t="s">
        <v>21</v>
      </c>
      <c r="G177" s="5">
        <v>61123</v>
      </c>
      <c r="H177" s="5">
        <v>212007</v>
      </c>
      <c r="I177" s="4">
        <v>230</v>
      </c>
      <c r="J177" s="4">
        <v>0.97</v>
      </c>
      <c r="K177" s="4">
        <v>6.29</v>
      </c>
      <c r="L177" s="4">
        <v>1.2</v>
      </c>
      <c r="M177" s="4">
        <v>1</v>
      </c>
      <c r="N177" s="4">
        <v>788</v>
      </c>
      <c r="O177" s="4" t="str">
        <f t="shared" si="4"/>
        <v>Full</v>
      </c>
      <c r="P177" s="5">
        <f t="shared" si="5"/>
        <v>61123</v>
      </c>
    </row>
    <row r="178" spans="1:16" x14ac:dyDescent="0.25">
      <c r="A178" s="4">
        <v>2016</v>
      </c>
      <c r="B178" s="4">
        <v>2</v>
      </c>
      <c r="C178" s="12" t="s">
        <v>36</v>
      </c>
      <c r="D178" s="4" t="s">
        <v>20</v>
      </c>
      <c r="E178" s="4" t="s">
        <v>14</v>
      </c>
      <c r="F178" s="4" t="s">
        <v>21</v>
      </c>
      <c r="G178" s="5">
        <v>42797</v>
      </c>
      <c r="H178" s="5">
        <v>122534</v>
      </c>
      <c r="I178" s="4">
        <v>398</v>
      </c>
      <c r="J178" s="4">
        <v>0.97</v>
      </c>
      <c r="K178" s="4">
        <v>6.29</v>
      </c>
      <c r="L178" s="4">
        <v>1.2</v>
      </c>
      <c r="M178" s="4">
        <v>8</v>
      </c>
      <c r="N178" s="4">
        <v>1026</v>
      </c>
      <c r="O178" s="4" t="str">
        <f t="shared" si="4"/>
        <v>EMI</v>
      </c>
      <c r="P178" s="5">
        <f t="shared" si="5"/>
        <v>43310.563999999998</v>
      </c>
    </row>
    <row r="179" spans="1:16" x14ac:dyDescent="0.25">
      <c r="A179" s="4">
        <v>2016</v>
      </c>
      <c r="B179" s="4">
        <v>3</v>
      </c>
      <c r="C179" s="12" t="s">
        <v>12</v>
      </c>
      <c r="D179" s="4" t="s">
        <v>13</v>
      </c>
      <c r="E179" s="4" t="s">
        <v>14</v>
      </c>
      <c r="F179" s="4" t="s">
        <v>18</v>
      </c>
      <c r="G179" s="5">
        <v>85013</v>
      </c>
      <c r="H179" s="5">
        <v>275414</v>
      </c>
      <c r="I179" s="4">
        <v>51</v>
      </c>
      <c r="J179" s="4">
        <v>0.97</v>
      </c>
      <c r="K179" s="4">
        <v>6.29</v>
      </c>
      <c r="L179" s="4">
        <v>1.2</v>
      </c>
      <c r="M179" s="4">
        <v>6</v>
      </c>
      <c r="N179" s="4">
        <v>347</v>
      </c>
      <c r="O179" s="4" t="str">
        <f t="shared" si="4"/>
        <v>EMI</v>
      </c>
      <c r="P179" s="5">
        <f t="shared" si="5"/>
        <v>86033.156000000003</v>
      </c>
    </row>
    <row r="180" spans="1:16" x14ac:dyDescent="0.25">
      <c r="A180" s="4">
        <v>2020</v>
      </c>
      <c r="B180" s="4">
        <v>7</v>
      </c>
      <c r="C180" s="12" t="s">
        <v>28</v>
      </c>
      <c r="D180" s="4" t="s">
        <v>31</v>
      </c>
      <c r="E180" s="4" t="s">
        <v>17</v>
      </c>
      <c r="F180" s="4" t="s">
        <v>21</v>
      </c>
      <c r="G180" s="5">
        <v>43346</v>
      </c>
      <c r="H180" s="5">
        <v>212696</v>
      </c>
      <c r="I180" s="4">
        <v>144</v>
      </c>
      <c r="J180" s="4">
        <v>0.97</v>
      </c>
      <c r="K180" s="4">
        <v>6.29</v>
      </c>
      <c r="L180" s="4">
        <v>1.2</v>
      </c>
      <c r="M180" s="4">
        <v>4</v>
      </c>
      <c r="N180" s="4">
        <v>386</v>
      </c>
      <c r="O180" s="4" t="str">
        <f t="shared" si="4"/>
        <v>EMI</v>
      </c>
      <c r="P180" s="5">
        <f t="shared" si="5"/>
        <v>43866.152000000002</v>
      </c>
    </row>
    <row r="181" spans="1:16" x14ac:dyDescent="0.25">
      <c r="A181" s="4">
        <v>2021</v>
      </c>
      <c r="B181" s="4">
        <v>7</v>
      </c>
      <c r="C181" s="12" t="s">
        <v>26</v>
      </c>
      <c r="D181" s="4" t="s">
        <v>27</v>
      </c>
      <c r="E181" s="4" t="s">
        <v>18</v>
      </c>
      <c r="F181" s="4" t="s">
        <v>25</v>
      </c>
      <c r="G181" s="5">
        <v>68672</v>
      </c>
      <c r="H181" s="5">
        <v>63440</v>
      </c>
      <c r="I181" s="4">
        <v>51</v>
      </c>
      <c r="J181" s="4">
        <v>0.97</v>
      </c>
      <c r="K181" s="4">
        <v>6.29</v>
      </c>
      <c r="L181" s="4">
        <v>1.2</v>
      </c>
      <c r="M181" s="4">
        <v>8</v>
      </c>
      <c r="N181" s="4">
        <v>187</v>
      </c>
      <c r="O181" s="4" t="str">
        <f t="shared" si="4"/>
        <v>EMI</v>
      </c>
      <c r="P181" s="5">
        <f t="shared" si="5"/>
        <v>69496.063999999998</v>
      </c>
    </row>
    <row r="182" spans="1:16" x14ac:dyDescent="0.25">
      <c r="A182" s="4">
        <v>2019</v>
      </c>
      <c r="B182" s="4">
        <v>12</v>
      </c>
      <c r="C182" s="12" t="s">
        <v>33</v>
      </c>
      <c r="D182" s="4" t="s">
        <v>22</v>
      </c>
      <c r="E182" s="4" t="s">
        <v>18</v>
      </c>
      <c r="F182" s="4" t="s">
        <v>15</v>
      </c>
      <c r="G182" s="5">
        <v>52653</v>
      </c>
      <c r="H182" s="5">
        <v>423145</v>
      </c>
      <c r="I182" s="4">
        <v>173</v>
      </c>
      <c r="J182" s="4">
        <v>0.97</v>
      </c>
      <c r="K182" s="4">
        <v>6.29</v>
      </c>
      <c r="L182" s="4">
        <v>1.2</v>
      </c>
      <c r="M182" s="4">
        <v>3</v>
      </c>
      <c r="N182" s="4">
        <v>599</v>
      </c>
      <c r="O182" s="4" t="str">
        <f t="shared" si="4"/>
        <v>EMI</v>
      </c>
      <c r="P182" s="5">
        <f t="shared" si="5"/>
        <v>53284.836000000003</v>
      </c>
    </row>
    <row r="183" spans="1:16" x14ac:dyDescent="0.25">
      <c r="A183" s="4">
        <v>2015</v>
      </c>
      <c r="B183" s="4">
        <v>4</v>
      </c>
      <c r="C183" s="12" t="s">
        <v>35</v>
      </c>
      <c r="D183" s="4" t="s">
        <v>32</v>
      </c>
      <c r="E183" s="4" t="s">
        <v>14</v>
      </c>
      <c r="F183" s="4" t="s">
        <v>18</v>
      </c>
      <c r="G183" s="5">
        <v>84556</v>
      </c>
      <c r="H183" s="5">
        <v>358645</v>
      </c>
      <c r="I183" s="4">
        <v>370</v>
      </c>
      <c r="J183" s="4">
        <v>0.97</v>
      </c>
      <c r="K183" s="4">
        <v>6.29</v>
      </c>
      <c r="L183" s="4">
        <v>1.2</v>
      </c>
      <c r="M183" s="4">
        <v>4</v>
      </c>
      <c r="N183" s="4">
        <v>815</v>
      </c>
      <c r="O183" s="4" t="str">
        <f t="shared" si="4"/>
        <v>EMI</v>
      </c>
      <c r="P183" s="5">
        <f t="shared" si="5"/>
        <v>85570.672000000006</v>
      </c>
    </row>
    <row r="184" spans="1:16" x14ac:dyDescent="0.25">
      <c r="A184" s="4">
        <v>2015</v>
      </c>
      <c r="B184" s="4">
        <v>5</v>
      </c>
      <c r="C184" s="12" t="s">
        <v>33</v>
      </c>
      <c r="D184" s="4" t="s">
        <v>24</v>
      </c>
      <c r="E184" s="4" t="s">
        <v>18</v>
      </c>
      <c r="F184" s="4" t="s">
        <v>21</v>
      </c>
      <c r="G184" s="5">
        <v>61140</v>
      </c>
      <c r="H184" s="5">
        <v>444485</v>
      </c>
      <c r="I184" s="4">
        <v>292</v>
      </c>
      <c r="J184" s="4">
        <v>0.97</v>
      </c>
      <c r="K184" s="4">
        <v>6.29</v>
      </c>
      <c r="L184" s="4">
        <v>1.2</v>
      </c>
      <c r="M184" s="4">
        <v>6</v>
      </c>
      <c r="N184" s="4">
        <v>1044</v>
      </c>
      <c r="O184" s="4" t="str">
        <f t="shared" si="4"/>
        <v>EMI</v>
      </c>
      <c r="P184" s="5">
        <f t="shared" si="5"/>
        <v>61873.68</v>
      </c>
    </row>
    <row r="185" spans="1:16" x14ac:dyDescent="0.25">
      <c r="A185" s="4">
        <v>2017</v>
      </c>
      <c r="B185" s="4">
        <v>5</v>
      </c>
      <c r="C185" s="12" t="s">
        <v>36</v>
      </c>
      <c r="D185" s="4" t="s">
        <v>37</v>
      </c>
      <c r="E185" s="4" t="s">
        <v>14</v>
      </c>
      <c r="F185" s="4" t="s">
        <v>25</v>
      </c>
      <c r="G185" s="5">
        <v>36184</v>
      </c>
      <c r="H185" s="5">
        <v>320012</v>
      </c>
      <c r="I185" s="4">
        <v>67</v>
      </c>
      <c r="J185" s="4">
        <v>0.97</v>
      </c>
      <c r="K185" s="4">
        <v>6.29</v>
      </c>
      <c r="L185" s="4">
        <v>1.2</v>
      </c>
      <c r="M185" s="4">
        <v>7</v>
      </c>
      <c r="N185" s="4">
        <v>536</v>
      </c>
      <c r="O185" s="4" t="str">
        <f t="shared" si="4"/>
        <v>EMI</v>
      </c>
      <c r="P185" s="5">
        <f t="shared" si="5"/>
        <v>36618.207999999999</v>
      </c>
    </row>
    <row r="186" spans="1:16" x14ac:dyDescent="0.25">
      <c r="A186" s="4">
        <v>2016</v>
      </c>
      <c r="B186" s="4">
        <v>6</v>
      </c>
      <c r="C186" s="12" t="s">
        <v>26</v>
      </c>
      <c r="D186" s="4" t="s">
        <v>20</v>
      </c>
      <c r="E186" s="4" t="s">
        <v>14</v>
      </c>
      <c r="F186" s="4" t="s">
        <v>18</v>
      </c>
      <c r="G186" s="5">
        <v>69493</v>
      </c>
      <c r="H186" s="5">
        <v>211323</v>
      </c>
      <c r="I186" s="4">
        <v>311</v>
      </c>
      <c r="J186" s="4">
        <v>0.97</v>
      </c>
      <c r="K186" s="4">
        <v>6.29</v>
      </c>
      <c r="L186" s="4">
        <v>1.2</v>
      </c>
      <c r="M186" s="4">
        <v>4</v>
      </c>
      <c r="N186" s="4">
        <v>967</v>
      </c>
      <c r="O186" s="4" t="str">
        <f t="shared" si="4"/>
        <v>EMI</v>
      </c>
      <c r="P186" s="5">
        <f t="shared" si="5"/>
        <v>70326.915999999997</v>
      </c>
    </row>
    <row r="187" spans="1:16" x14ac:dyDescent="0.25">
      <c r="A187" s="4">
        <v>2019</v>
      </c>
      <c r="B187" s="4">
        <v>9</v>
      </c>
      <c r="C187" s="12" t="s">
        <v>12</v>
      </c>
      <c r="D187" s="4" t="s">
        <v>31</v>
      </c>
      <c r="E187" s="4" t="s">
        <v>17</v>
      </c>
      <c r="F187" s="4" t="s">
        <v>21</v>
      </c>
      <c r="G187" s="5">
        <v>79148</v>
      </c>
      <c r="H187" s="5">
        <v>390053</v>
      </c>
      <c r="I187" s="4">
        <v>331</v>
      </c>
      <c r="J187" s="4">
        <v>0.97</v>
      </c>
      <c r="K187" s="4">
        <v>6.29</v>
      </c>
      <c r="L187" s="4">
        <v>1.2</v>
      </c>
      <c r="M187" s="4">
        <v>4</v>
      </c>
      <c r="N187" s="4">
        <v>744</v>
      </c>
      <c r="O187" s="4" t="str">
        <f t="shared" si="4"/>
        <v>EMI</v>
      </c>
      <c r="P187" s="5">
        <f t="shared" si="5"/>
        <v>80097.775999999998</v>
      </c>
    </row>
    <row r="188" spans="1:16" x14ac:dyDescent="0.25">
      <c r="A188" s="4">
        <v>2024</v>
      </c>
      <c r="B188" s="4">
        <v>2</v>
      </c>
      <c r="C188" s="12" t="s">
        <v>30</v>
      </c>
      <c r="D188" s="4" t="s">
        <v>31</v>
      </c>
      <c r="E188" s="4" t="s">
        <v>17</v>
      </c>
      <c r="F188" s="4" t="s">
        <v>18</v>
      </c>
      <c r="G188" s="5">
        <v>59846</v>
      </c>
      <c r="H188" s="5">
        <v>134523</v>
      </c>
      <c r="I188" s="4">
        <v>34</v>
      </c>
      <c r="J188" s="4">
        <v>0.97</v>
      </c>
      <c r="K188" s="4">
        <v>6.29</v>
      </c>
      <c r="L188" s="4">
        <v>1.2</v>
      </c>
      <c r="M188" s="4">
        <v>7</v>
      </c>
      <c r="N188" s="4">
        <v>341</v>
      </c>
      <c r="O188" s="4" t="str">
        <f t="shared" si="4"/>
        <v>EMI</v>
      </c>
      <c r="P188" s="5">
        <f t="shared" si="5"/>
        <v>60564.152000000002</v>
      </c>
    </row>
    <row r="189" spans="1:16" x14ac:dyDescent="0.25">
      <c r="A189" s="4">
        <v>2020</v>
      </c>
      <c r="B189" s="4">
        <v>5</v>
      </c>
      <c r="C189" s="12" t="s">
        <v>19</v>
      </c>
      <c r="D189" s="4" t="s">
        <v>22</v>
      </c>
      <c r="E189" s="4" t="s">
        <v>17</v>
      </c>
      <c r="F189" s="4" t="s">
        <v>21</v>
      </c>
      <c r="G189" s="5">
        <v>57195</v>
      </c>
      <c r="H189" s="5">
        <v>219801</v>
      </c>
      <c r="I189" s="4">
        <v>82</v>
      </c>
      <c r="J189" s="4">
        <v>0.97</v>
      </c>
      <c r="K189" s="4">
        <v>6.29</v>
      </c>
      <c r="L189" s="4">
        <v>1.2</v>
      </c>
      <c r="M189" s="4">
        <v>6</v>
      </c>
      <c r="N189" s="4">
        <v>511</v>
      </c>
      <c r="O189" s="4" t="str">
        <f t="shared" si="4"/>
        <v>EMI</v>
      </c>
      <c r="P189" s="5">
        <f t="shared" si="5"/>
        <v>57881.340000000004</v>
      </c>
    </row>
    <row r="190" spans="1:16" x14ac:dyDescent="0.25">
      <c r="A190" s="4">
        <v>2021</v>
      </c>
      <c r="B190" s="4">
        <v>12</v>
      </c>
      <c r="C190" s="12" t="s">
        <v>26</v>
      </c>
      <c r="D190" s="4" t="s">
        <v>27</v>
      </c>
      <c r="E190" s="4" t="s">
        <v>14</v>
      </c>
      <c r="F190" s="4" t="s">
        <v>18</v>
      </c>
      <c r="G190" s="5">
        <v>40606</v>
      </c>
      <c r="H190" s="5">
        <v>65734</v>
      </c>
      <c r="I190" s="4">
        <v>382</v>
      </c>
      <c r="J190" s="4">
        <v>0.97</v>
      </c>
      <c r="K190" s="4">
        <v>6.29</v>
      </c>
      <c r="L190" s="4">
        <v>1.2</v>
      </c>
      <c r="M190" s="4">
        <v>8</v>
      </c>
      <c r="N190" s="4">
        <v>790</v>
      </c>
      <c r="O190" s="4" t="str">
        <f t="shared" si="4"/>
        <v>EMI</v>
      </c>
      <c r="P190" s="5">
        <f t="shared" si="5"/>
        <v>41093.271999999997</v>
      </c>
    </row>
    <row r="191" spans="1:16" x14ac:dyDescent="0.25">
      <c r="A191" s="4">
        <v>2018</v>
      </c>
      <c r="B191" s="4">
        <v>3</v>
      </c>
      <c r="C191" s="12" t="s">
        <v>28</v>
      </c>
      <c r="D191" s="4" t="s">
        <v>16</v>
      </c>
      <c r="E191" s="4" t="s">
        <v>18</v>
      </c>
      <c r="F191" s="4" t="s">
        <v>25</v>
      </c>
      <c r="G191" s="5">
        <v>38956</v>
      </c>
      <c r="H191" s="5">
        <v>223501</v>
      </c>
      <c r="I191" s="4">
        <v>138</v>
      </c>
      <c r="J191" s="4">
        <v>0.97</v>
      </c>
      <c r="K191" s="4">
        <v>6.29</v>
      </c>
      <c r="L191" s="4">
        <v>1.2</v>
      </c>
      <c r="M191" s="4">
        <v>1</v>
      </c>
      <c r="N191" s="4">
        <v>457</v>
      </c>
      <c r="O191" s="4" t="str">
        <f t="shared" si="4"/>
        <v>Full</v>
      </c>
      <c r="P191" s="5">
        <f t="shared" si="5"/>
        <v>38956</v>
      </c>
    </row>
    <row r="192" spans="1:16" x14ac:dyDescent="0.25">
      <c r="A192" s="4">
        <v>2021</v>
      </c>
      <c r="B192" s="4">
        <v>4</v>
      </c>
      <c r="C192" s="12" t="s">
        <v>23</v>
      </c>
      <c r="D192" s="4" t="s">
        <v>37</v>
      </c>
      <c r="E192" s="4" t="s">
        <v>17</v>
      </c>
      <c r="F192" s="4" t="s">
        <v>25</v>
      </c>
      <c r="G192" s="5">
        <v>51555</v>
      </c>
      <c r="H192" s="5">
        <v>222409</v>
      </c>
      <c r="I192" s="4">
        <v>96</v>
      </c>
      <c r="J192" s="4">
        <v>0.97</v>
      </c>
      <c r="K192" s="4">
        <v>6.29</v>
      </c>
      <c r="L192" s="4">
        <v>1.2</v>
      </c>
      <c r="M192" s="4">
        <v>10</v>
      </c>
      <c r="N192" s="4">
        <v>245</v>
      </c>
      <c r="O192" s="4" t="str">
        <f t="shared" si="4"/>
        <v>EMI</v>
      </c>
      <c r="P192" s="5">
        <f t="shared" si="5"/>
        <v>52173.66</v>
      </c>
    </row>
    <row r="193" spans="1:16" x14ac:dyDescent="0.25">
      <c r="A193" s="4">
        <v>2022</v>
      </c>
      <c r="B193" s="4">
        <v>10</v>
      </c>
      <c r="C193" s="12" t="s">
        <v>12</v>
      </c>
      <c r="D193" s="4" t="s">
        <v>22</v>
      </c>
      <c r="E193" s="4" t="s">
        <v>18</v>
      </c>
      <c r="F193" s="4" t="s">
        <v>15</v>
      </c>
      <c r="G193" s="5">
        <v>53690</v>
      </c>
      <c r="H193" s="5">
        <v>483541</v>
      </c>
      <c r="I193" s="4">
        <v>339</v>
      </c>
      <c r="J193" s="4">
        <v>0.97</v>
      </c>
      <c r="K193" s="4">
        <v>6.29</v>
      </c>
      <c r="L193" s="4">
        <v>1.2</v>
      </c>
      <c r="M193" s="4">
        <v>7</v>
      </c>
      <c r="N193" s="4">
        <v>818</v>
      </c>
      <c r="O193" s="4" t="str">
        <f t="shared" si="4"/>
        <v>EMI</v>
      </c>
      <c r="P193" s="5">
        <f t="shared" si="5"/>
        <v>54334.28</v>
      </c>
    </row>
    <row r="194" spans="1:16" x14ac:dyDescent="0.25">
      <c r="A194" s="4">
        <v>2015</v>
      </c>
      <c r="B194" s="4">
        <v>6</v>
      </c>
      <c r="C194" s="12" t="s">
        <v>19</v>
      </c>
      <c r="D194" s="4" t="s">
        <v>24</v>
      </c>
      <c r="E194" s="4" t="s">
        <v>17</v>
      </c>
      <c r="F194" s="4" t="s">
        <v>18</v>
      </c>
      <c r="G194" s="5">
        <v>93502</v>
      </c>
      <c r="H194" s="5">
        <v>395744</v>
      </c>
      <c r="I194" s="4">
        <v>162</v>
      </c>
      <c r="J194" s="4">
        <v>0.97</v>
      </c>
      <c r="K194" s="4">
        <v>6.29</v>
      </c>
      <c r="L194" s="4">
        <v>1.2</v>
      </c>
      <c r="M194" s="4">
        <v>7</v>
      </c>
      <c r="N194" s="4">
        <v>596</v>
      </c>
      <c r="O194" s="4" t="str">
        <f t="shared" ref="O194:O257" si="6">IF(M194&gt;2,"EMI",IF(H194&gt;300000,"Discount","Full"))</f>
        <v>EMI</v>
      </c>
      <c r="P194" s="5">
        <f t="shared" ref="P194:P257" si="7">IF(O194="EMI", G194*(1+L194/100), IF(O194="Full", G194, G194*0.9))</f>
        <v>94624.024000000005</v>
      </c>
    </row>
    <row r="195" spans="1:16" x14ac:dyDescent="0.25">
      <c r="A195" s="4">
        <v>2020</v>
      </c>
      <c r="B195" s="4">
        <v>12</v>
      </c>
      <c r="C195" s="12" t="s">
        <v>35</v>
      </c>
      <c r="D195" s="4" t="s">
        <v>13</v>
      </c>
      <c r="E195" s="4" t="s">
        <v>17</v>
      </c>
      <c r="F195" s="4" t="s">
        <v>15</v>
      </c>
      <c r="G195" s="5">
        <v>83849</v>
      </c>
      <c r="H195" s="5">
        <v>320577</v>
      </c>
      <c r="I195" s="4">
        <v>191</v>
      </c>
      <c r="J195" s="4">
        <v>0.97</v>
      </c>
      <c r="K195" s="4">
        <v>6.29</v>
      </c>
      <c r="L195" s="4">
        <v>1.2</v>
      </c>
      <c r="M195" s="4">
        <v>7</v>
      </c>
      <c r="N195" s="4">
        <v>396</v>
      </c>
      <c r="O195" s="4" t="str">
        <f t="shared" si="6"/>
        <v>EMI</v>
      </c>
      <c r="P195" s="5">
        <f t="shared" si="7"/>
        <v>84855.187999999995</v>
      </c>
    </row>
    <row r="196" spans="1:16" x14ac:dyDescent="0.25">
      <c r="A196" s="4">
        <v>2022</v>
      </c>
      <c r="B196" s="4">
        <v>8</v>
      </c>
      <c r="C196" s="12" t="s">
        <v>23</v>
      </c>
      <c r="D196" s="4" t="s">
        <v>29</v>
      </c>
      <c r="E196" s="4" t="s">
        <v>14</v>
      </c>
      <c r="F196" s="4" t="s">
        <v>18</v>
      </c>
      <c r="G196" s="5">
        <v>61347</v>
      </c>
      <c r="H196" s="5">
        <v>190183</v>
      </c>
      <c r="I196" s="4">
        <v>134</v>
      </c>
      <c r="J196" s="4">
        <v>0.97</v>
      </c>
      <c r="K196" s="4">
        <v>6.29</v>
      </c>
      <c r="L196" s="4">
        <v>1.2</v>
      </c>
      <c r="M196" s="4">
        <v>7</v>
      </c>
      <c r="N196" s="4">
        <v>523</v>
      </c>
      <c r="O196" s="4" t="str">
        <f t="shared" si="6"/>
        <v>EMI</v>
      </c>
      <c r="P196" s="5">
        <f t="shared" si="7"/>
        <v>62083.163999999997</v>
      </c>
    </row>
    <row r="197" spans="1:16" x14ac:dyDescent="0.25">
      <c r="A197" s="4">
        <v>2019</v>
      </c>
      <c r="B197" s="4">
        <v>1</v>
      </c>
      <c r="C197" s="12" t="s">
        <v>36</v>
      </c>
      <c r="D197" s="4" t="s">
        <v>16</v>
      </c>
      <c r="E197" s="4" t="s">
        <v>17</v>
      </c>
      <c r="F197" s="4" t="s">
        <v>21</v>
      </c>
      <c r="G197" s="5">
        <v>84056</v>
      </c>
      <c r="H197" s="5">
        <v>153986</v>
      </c>
      <c r="I197" s="4">
        <v>76</v>
      </c>
      <c r="J197" s="4">
        <v>0.97</v>
      </c>
      <c r="K197" s="4">
        <v>6.29</v>
      </c>
      <c r="L197" s="4">
        <v>1.2</v>
      </c>
      <c r="M197" s="4">
        <v>10</v>
      </c>
      <c r="N197" s="4">
        <v>419</v>
      </c>
      <c r="O197" s="4" t="str">
        <f t="shared" si="6"/>
        <v>EMI</v>
      </c>
      <c r="P197" s="5">
        <f t="shared" si="7"/>
        <v>85064.672000000006</v>
      </c>
    </row>
    <row r="198" spans="1:16" x14ac:dyDescent="0.25">
      <c r="A198" s="4">
        <v>2018</v>
      </c>
      <c r="B198" s="4">
        <v>10</v>
      </c>
      <c r="C198" s="12" t="s">
        <v>26</v>
      </c>
      <c r="D198" s="4" t="s">
        <v>27</v>
      </c>
      <c r="E198" s="4" t="s">
        <v>17</v>
      </c>
      <c r="F198" s="4" t="s">
        <v>21</v>
      </c>
      <c r="G198" s="5">
        <v>98851</v>
      </c>
      <c r="H198" s="5">
        <v>375897</v>
      </c>
      <c r="I198" s="4">
        <v>15</v>
      </c>
      <c r="J198" s="4">
        <v>0.97</v>
      </c>
      <c r="K198" s="4">
        <v>6.29</v>
      </c>
      <c r="L198" s="4">
        <v>1.2</v>
      </c>
      <c r="M198" s="4">
        <v>10</v>
      </c>
      <c r="N198" s="4">
        <v>173</v>
      </c>
      <c r="O198" s="4" t="str">
        <f t="shared" si="6"/>
        <v>EMI</v>
      </c>
      <c r="P198" s="5">
        <f t="shared" si="7"/>
        <v>100037.212</v>
      </c>
    </row>
    <row r="199" spans="1:16" x14ac:dyDescent="0.25">
      <c r="A199" s="4">
        <v>2016</v>
      </c>
      <c r="B199" s="4">
        <v>8</v>
      </c>
      <c r="C199" s="12" t="s">
        <v>19</v>
      </c>
      <c r="D199" s="4" t="s">
        <v>20</v>
      </c>
      <c r="E199" s="4" t="s">
        <v>14</v>
      </c>
      <c r="F199" s="4" t="s">
        <v>15</v>
      </c>
      <c r="G199" s="5">
        <v>116502</v>
      </c>
      <c r="H199" s="5">
        <v>163783</v>
      </c>
      <c r="I199" s="4">
        <v>134</v>
      </c>
      <c r="J199" s="4">
        <v>0.97</v>
      </c>
      <c r="K199" s="4">
        <v>6.29</v>
      </c>
      <c r="L199" s="4">
        <v>1.2</v>
      </c>
      <c r="M199" s="4">
        <v>8</v>
      </c>
      <c r="N199" s="4">
        <v>393</v>
      </c>
      <c r="O199" s="4" t="str">
        <f t="shared" si="6"/>
        <v>EMI</v>
      </c>
      <c r="P199" s="5">
        <f t="shared" si="7"/>
        <v>117900.024</v>
      </c>
    </row>
    <row r="200" spans="1:16" x14ac:dyDescent="0.25">
      <c r="A200" s="4">
        <v>2020</v>
      </c>
      <c r="B200" s="4">
        <v>11</v>
      </c>
      <c r="C200" s="12" t="s">
        <v>34</v>
      </c>
      <c r="D200" s="4" t="s">
        <v>16</v>
      </c>
      <c r="E200" s="4" t="s">
        <v>18</v>
      </c>
      <c r="F200" s="4" t="s">
        <v>18</v>
      </c>
      <c r="G200" s="5">
        <v>116418</v>
      </c>
      <c r="H200" s="5">
        <v>261655</v>
      </c>
      <c r="I200" s="4">
        <v>323</v>
      </c>
      <c r="J200" s="4">
        <v>0.97</v>
      </c>
      <c r="K200" s="4">
        <v>6.29</v>
      </c>
      <c r="L200" s="4">
        <v>1.2</v>
      </c>
      <c r="M200" s="4">
        <v>9</v>
      </c>
      <c r="N200" s="4">
        <v>654</v>
      </c>
      <c r="O200" s="4" t="str">
        <f t="shared" si="6"/>
        <v>EMI</v>
      </c>
      <c r="P200" s="5">
        <f t="shared" si="7"/>
        <v>117815.016</v>
      </c>
    </row>
    <row r="201" spans="1:16" x14ac:dyDescent="0.25">
      <c r="A201" s="4">
        <v>2020</v>
      </c>
      <c r="B201" s="4">
        <v>7</v>
      </c>
      <c r="C201" s="12" t="s">
        <v>30</v>
      </c>
      <c r="D201" s="4" t="s">
        <v>32</v>
      </c>
      <c r="E201" s="4" t="s">
        <v>17</v>
      </c>
      <c r="F201" s="4" t="s">
        <v>15</v>
      </c>
      <c r="G201" s="5">
        <v>105211</v>
      </c>
      <c r="H201" s="5">
        <v>333895</v>
      </c>
      <c r="I201" s="4">
        <v>335</v>
      </c>
      <c r="J201" s="4">
        <v>0.97</v>
      </c>
      <c r="K201" s="4">
        <v>6.29</v>
      </c>
      <c r="L201" s="4">
        <v>1.2</v>
      </c>
      <c r="M201" s="4">
        <v>9</v>
      </c>
      <c r="N201" s="4">
        <v>773</v>
      </c>
      <c r="O201" s="4" t="str">
        <f t="shared" si="6"/>
        <v>EMI</v>
      </c>
      <c r="P201" s="5">
        <f t="shared" si="7"/>
        <v>106473.53200000001</v>
      </c>
    </row>
    <row r="202" spans="1:16" x14ac:dyDescent="0.25">
      <c r="A202" s="4">
        <v>2015</v>
      </c>
      <c r="B202" s="4">
        <v>1</v>
      </c>
      <c r="C202" s="12" t="s">
        <v>30</v>
      </c>
      <c r="D202" s="4" t="s">
        <v>27</v>
      </c>
      <c r="E202" s="4" t="s">
        <v>14</v>
      </c>
      <c r="F202" s="4" t="s">
        <v>25</v>
      </c>
      <c r="G202" s="5">
        <v>76850</v>
      </c>
      <c r="H202" s="5">
        <v>197525</v>
      </c>
      <c r="I202" s="4">
        <v>62</v>
      </c>
      <c r="J202" s="4">
        <v>0.97</v>
      </c>
      <c r="K202" s="4">
        <v>6.29</v>
      </c>
      <c r="L202" s="4">
        <v>1.2</v>
      </c>
      <c r="M202" s="4">
        <v>2</v>
      </c>
      <c r="N202" s="4">
        <v>211</v>
      </c>
      <c r="O202" s="4" t="str">
        <f t="shared" si="6"/>
        <v>Full</v>
      </c>
      <c r="P202" s="5">
        <f t="shared" si="7"/>
        <v>76850</v>
      </c>
    </row>
    <row r="203" spans="1:16" x14ac:dyDescent="0.25">
      <c r="A203" s="4">
        <v>2023</v>
      </c>
      <c r="B203" s="4">
        <v>2</v>
      </c>
      <c r="C203" s="12" t="s">
        <v>12</v>
      </c>
      <c r="D203" s="4" t="s">
        <v>13</v>
      </c>
      <c r="E203" s="4" t="s">
        <v>17</v>
      </c>
      <c r="F203" s="4" t="s">
        <v>15</v>
      </c>
      <c r="G203" s="5">
        <v>113545</v>
      </c>
      <c r="H203" s="5">
        <v>266916</v>
      </c>
      <c r="I203" s="4">
        <v>75</v>
      </c>
      <c r="J203" s="4">
        <v>0.97</v>
      </c>
      <c r="K203" s="4">
        <v>6.29</v>
      </c>
      <c r="L203" s="4">
        <v>1.2</v>
      </c>
      <c r="M203" s="4">
        <v>7</v>
      </c>
      <c r="N203" s="4">
        <v>375</v>
      </c>
      <c r="O203" s="4" t="str">
        <f t="shared" si="6"/>
        <v>EMI</v>
      </c>
      <c r="P203" s="5">
        <f t="shared" si="7"/>
        <v>114907.54000000001</v>
      </c>
    </row>
    <row r="204" spans="1:16" x14ac:dyDescent="0.25">
      <c r="A204" s="4">
        <v>2020</v>
      </c>
      <c r="B204" s="4">
        <v>3</v>
      </c>
      <c r="C204" s="12" t="s">
        <v>35</v>
      </c>
      <c r="D204" s="4" t="s">
        <v>32</v>
      </c>
      <c r="E204" s="4" t="s">
        <v>14</v>
      </c>
      <c r="F204" s="4" t="s">
        <v>15</v>
      </c>
      <c r="G204" s="5">
        <v>62843</v>
      </c>
      <c r="H204" s="5">
        <v>482184</v>
      </c>
      <c r="I204" s="4">
        <v>323</v>
      </c>
      <c r="J204" s="4">
        <v>0.97</v>
      </c>
      <c r="K204" s="4">
        <v>6.29</v>
      </c>
      <c r="L204" s="4">
        <v>1.2</v>
      </c>
      <c r="M204" s="4">
        <v>7</v>
      </c>
      <c r="N204" s="4">
        <v>975</v>
      </c>
      <c r="O204" s="4" t="str">
        <f t="shared" si="6"/>
        <v>EMI</v>
      </c>
      <c r="P204" s="5">
        <f t="shared" si="7"/>
        <v>63597.116000000002</v>
      </c>
    </row>
    <row r="205" spans="1:16" x14ac:dyDescent="0.25">
      <c r="A205" s="4">
        <v>2017</v>
      </c>
      <c r="B205" s="4">
        <v>1</v>
      </c>
      <c r="C205" s="12" t="s">
        <v>12</v>
      </c>
      <c r="D205" s="4" t="s">
        <v>16</v>
      </c>
      <c r="E205" s="4" t="s">
        <v>18</v>
      </c>
      <c r="F205" s="4" t="s">
        <v>21</v>
      </c>
      <c r="G205" s="5">
        <v>97320</v>
      </c>
      <c r="H205" s="5">
        <v>211149</v>
      </c>
      <c r="I205" s="4">
        <v>91</v>
      </c>
      <c r="J205" s="4">
        <v>0.97</v>
      </c>
      <c r="K205" s="4">
        <v>6.29</v>
      </c>
      <c r="L205" s="4">
        <v>1.2</v>
      </c>
      <c r="M205" s="4">
        <v>4</v>
      </c>
      <c r="N205" s="4">
        <v>396</v>
      </c>
      <c r="O205" s="4" t="str">
        <f t="shared" si="6"/>
        <v>EMI</v>
      </c>
      <c r="P205" s="5">
        <f t="shared" si="7"/>
        <v>98487.84</v>
      </c>
    </row>
    <row r="206" spans="1:16" x14ac:dyDescent="0.25">
      <c r="A206" s="4">
        <v>2018</v>
      </c>
      <c r="B206" s="4">
        <v>9</v>
      </c>
      <c r="C206" s="12" t="s">
        <v>34</v>
      </c>
      <c r="D206" s="4" t="s">
        <v>29</v>
      </c>
      <c r="E206" s="4" t="s">
        <v>18</v>
      </c>
      <c r="F206" s="4" t="s">
        <v>15</v>
      </c>
      <c r="G206" s="5">
        <v>64793</v>
      </c>
      <c r="H206" s="5">
        <v>289654</v>
      </c>
      <c r="I206" s="4">
        <v>96</v>
      </c>
      <c r="J206" s="4">
        <v>0.97</v>
      </c>
      <c r="K206" s="4">
        <v>6.29</v>
      </c>
      <c r="L206" s="4">
        <v>1.2</v>
      </c>
      <c r="M206" s="4">
        <v>9</v>
      </c>
      <c r="N206" s="4">
        <v>500</v>
      </c>
      <c r="O206" s="4" t="str">
        <f t="shared" si="6"/>
        <v>EMI</v>
      </c>
      <c r="P206" s="5">
        <f t="shared" si="7"/>
        <v>65570.516000000003</v>
      </c>
    </row>
    <row r="207" spans="1:16" x14ac:dyDescent="0.25">
      <c r="A207" s="4">
        <v>2018</v>
      </c>
      <c r="B207" s="4">
        <v>8</v>
      </c>
      <c r="C207" s="12" t="s">
        <v>28</v>
      </c>
      <c r="D207" s="4" t="s">
        <v>29</v>
      </c>
      <c r="E207" s="4" t="s">
        <v>14</v>
      </c>
      <c r="F207" s="4" t="s">
        <v>18</v>
      </c>
      <c r="G207" s="5">
        <v>74516</v>
      </c>
      <c r="H207" s="5">
        <v>477991</v>
      </c>
      <c r="I207" s="4">
        <v>11</v>
      </c>
      <c r="J207" s="4">
        <v>0.97</v>
      </c>
      <c r="K207" s="4">
        <v>6.29</v>
      </c>
      <c r="L207" s="4">
        <v>1.2</v>
      </c>
      <c r="M207" s="4">
        <v>8</v>
      </c>
      <c r="N207" s="4">
        <v>142</v>
      </c>
      <c r="O207" s="4" t="str">
        <f t="shared" si="6"/>
        <v>EMI</v>
      </c>
      <c r="P207" s="5">
        <f t="shared" si="7"/>
        <v>75410.191999999995</v>
      </c>
    </row>
    <row r="208" spans="1:16" x14ac:dyDescent="0.25">
      <c r="A208" s="4">
        <v>2017</v>
      </c>
      <c r="B208" s="4">
        <v>2</v>
      </c>
      <c r="C208" s="12" t="s">
        <v>35</v>
      </c>
      <c r="D208" s="4" t="s">
        <v>13</v>
      </c>
      <c r="E208" s="4" t="s">
        <v>14</v>
      </c>
      <c r="F208" s="4" t="s">
        <v>21</v>
      </c>
      <c r="G208" s="5">
        <v>52857</v>
      </c>
      <c r="H208" s="5">
        <v>239216</v>
      </c>
      <c r="I208" s="4">
        <v>213</v>
      </c>
      <c r="J208" s="4">
        <v>0.97</v>
      </c>
      <c r="K208" s="4">
        <v>6.29</v>
      </c>
      <c r="L208" s="4">
        <v>1.2</v>
      </c>
      <c r="M208" s="4">
        <v>1</v>
      </c>
      <c r="N208" s="4">
        <v>523</v>
      </c>
      <c r="O208" s="4" t="str">
        <f t="shared" si="6"/>
        <v>Full</v>
      </c>
      <c r="P208" s="5">
        <f t="shared" si="7"/>
        <v>52857</v>
      </c>
    </row>
    <row r="209" spans="1:16" x14ac:dyDescent="0.25">
      <c r="A209" s="4">
        <v>2024</v>
      </c>
      <c r="B209" s="4">
        <v>9</v>
      </c>
      <c r="C209" s="12" t="s">
        <v>33</v>
      </c>
      <c r="D209" s="4" t="s">
        <v>31</v>
      </c>
      <c r="E209" s="4" t="s">
        <v>14</v>
      </c>
      <c r="F209" s="4" t="s">
        <v>15</v>
      </c>
      <c r="G209" s="5">
        <v>54627</v>
      </c>
      <c r="H209" s="5">
        <v>360714</v>
      </c>
      <c r="I209" s="4">
        <v>159</v>
      </c>
      <c r="J209" s="4">
        <v>0.97</v>
      </c>
      <c r="K209" s="4">
        <v>6.29</v>
      </c>
      <c r="L209" s="4">
        <v>1.2</v>
      </c>
      <c r="M209" s="4">
        <v>2</v>
      </c>
      <c r="N209" s="4">
        <v>697</v>
      </c>
      <c r="O209" s="4" t="str">
        <f t="shared" si="6"/>
        <v>Discount</v>
      </c>
      <c r="P209" s="5">
        <f t="shared" si="7"/>
        <v>49164.3</v>
      </c>
    </row>
    <row r="210" spans="1:16" x14ac:dyDescent="0.25">
      <c r="A210" s="4">
        <v>2017</v>
      </c>
      <c r="B210" s="4">
        <v>7</v>
      </c>
      <c r="C210" s="12" t="s">
        <v>28</v>
      </c>
      <c r="D210" s="4" t="s">
        <v>37</v>
      </c>
      <c r="E210" s="4" t="s">
        <v>18</v>
      </c>
      <c r="F210" s="4" t="s">
        <v>25</v>
      </c>
      <c r="G210" s="5">
        <v>96822</v>
      </c>
      <c r="H210" s="5">
        <v>227169</v>
      </c>
      <c r="I210" s="4">
        <v>302</v>
      </c>
      <c r="J210" s="4">
        <v>0.97</v>
      </c>
      <c r="K210" s="4">
        <v>6.29</v>
      </c>
      <c r="L210" s="4">
        <v>1.2</v>
      </c>
      <c r="M210" s="4">
        <v>2</v>
      </c>
      <c r="N210" s="4">
        <v>941</v>
      </c>
      <c r="O210" s="4" t="str">
        <f t="shared" si="6"/>
        <v>Full</v>
      </c>
      <c r="P210" s="5">
        <f t="shared" si="7"/>
        <v>96822</v>
      </c>
    </row>
    <row r="211" spans="1:16" x14ac:dyDescent="0.25">
      <c r="A211" s="4">
        <v>2017</v>
      </c>
      <c r="B211" s="4">
        <v>9</v>
      </c>
      <c r="C211" s="12" t="s">
        <v>35</v>
      </c>
      <c r="D211" s="4" t="s">
        <v>20</v>
      </c>
      <c r="E211" s="4" t="s">
        <v>17</v>
      </c>
      <c r="F211" s="4" t="s">
        <v>15</v>
      </c>
      <c r="G211" s="5">
        <v>119101</v>
      </c>
      <c r="H211" s="5">
        <v>336647</v>
      </c>
      <c r="I211" s="4">
        <v>112</v>
      </c>
      <c r="J211" s="4">
        <v>0.97</v>
      </c>
      <c r="K211" s="4">
        <v>6.29</v>
      </c>
      <c r="L211" s="4">
        <v>1.2</v>
      </c>
      <c r="M211" s="4">
        <v>8</v>
      </c>
      <c r="N211" s="4">
        <v>446</v>
      </c>
      <c r="O211" s="4" t="str">
        <f t="shared" si="6"/>
        <v>EMI</v>
      </c>
      <c r="P211" s="5">
        <f t="shared" si="7"/>
        <v>120530.212</v>
      </c>
    </row>
    <row r="212" spans="1:16" x14ac:dyDescent="0.25">
      <c r="A212" s="4">
        <v>2018</v>
      </c>
      <c r="B212" s="4">
        <v>6</v>
      </c>
      <c r="C212" s="12" t="s">
        <v>35</v>
      </c>
      <c r="D212" s="4" t="s">
        <v>31</v>
      </c>
      <c r="E212" s="4" t="s">
        <v>18</v>
      </c>
      <c r="F212" s="4" t="s">
        <v>15</v>
      </c>
      <c r="G212" s="5">
        <v>87248</v>
      </c>
      <c r="H212" s="5">
        <v>183851</v>
      </c>
      <c r="I212" s="4">
        <v>33</v>
      </c>
      <c r="J212" s="4">
        <v>0.97</v>
      </c>
      <c r="K212" s="4">
        <v>6.29</v>
      </c>
      <c r="L212" s="4">
        <v>1.2</v>
      </c>
      <c r="M212" s="4">
        <v>1</v>
      </c>
      <c r="N212" s="4">
        <v>477</v>
      </c>
      <c r="O212" s="4" t="str">
        <f t="shared" si="6"/>
        <v>Full</v>
      </c>
      <c r="P212" s="5">
        <f t="shared" si="7"/>
        <v>87248</v>
      </c>
    </row>
    <row r="213" spans="1:16" x14ac:dyDescent="0.25">
      <c r="A213" s="4">
        <v>2021</v>
      </c>
      <c r="B213" s="4">
        <v>6</v>
      </c>
      <c r="C213" s="12" t="s">
        <v>34</v>
      </c>
      <c r="D213" s="4" t="s">
        <v>29</v>
      </c>
      <c r="E213" s="4" t="s">
        <v>14</v>
      </c>
      <c r="F213" s="4" t="s">
        <v>15</v>
      </c>
      <c r="G213" s="5">
        <v>90798</v>
      </c>
      <c r="H213" s="5">
        <v>398984</v>
      </c>
      <c r="I213" s="4">
        <v>377</v>
      </c>
      <c r="J213" s="4">
        <v>0.97</v>
      </c>
      <c r="K213" s="4">
        <v>6.29</v>
      </c>
      <c r="L213" s="4">
        <v>1.2</v>
      </c>
      <c r="M213" s="4">
        <v>4</v>
      </c>
      <c r="N213" s="4">
        <v>1008</v>
      </c>
      <c r="O213" s="4" t="str">
        <f t="shared" si="6"/>
        <v>EMI</v>
      </c>
      <c r="P213" s="5">
        <f t="shared" si="7"/>
        <v>91887.576000000001</v>
      </c>
    </row>
    <row r="214" spans="1:16" x14ac:dyDescent="0.25">
      <c r="A214" s="4">
        <v>2018</v>
      </c>
      <c r="B214" s="4">
        <v>11</v>
      </c>
      <c r="C214" s="12" t="s">
        <v>36</v>
      </c>
      <c r="D214" s="4" t="s">
        <v>29</v>
      </c>
      <c r="E214" s="4" t="s">
        <v>14</v>
      </c>
      <c r="F214" s="4" t="s">
        <v>21</v>
      </c>
      <c r="G214" s="5">
        <v>79116</v>
      </c>
      <c r="H214" s="5">
        <v>181827</v>
      </c>
      <c r="I214" s="4">
        <v>221</v>
      </c>
      <c r="J214" s="4">
        <v>0.97</v>
      </c>
      <c r="K214" s="4">
        <v>6.29</v>
      </c>
      <c r="L214" s="4">
        <v>1.2</v>
      </c>
      <c r="M214" s="4">
        <v>10</v>
      </c>
      <c r="N214" s="4">
        <v>781</v>
      </c>
      <c r="O214" s="4" t="str">
        <f t="shared" si="6"/>
        <v>EMI</v>
      </c>
      <c r="P214" s="5">
        <f t="shared" si="7"/>
        <v>80065.392000000007</v>
      </c>
    </row>
    <row r="215" spans="1:16" x14ac:dyDescent="0.25">
      <c r="A215" s="4">
        <v>2023</v>
      </c>
      <c r="B215" s="4">
        <v>4</v>
      </c>
      <c r="C215" s="12" t="s">
        <v>34</v>
      </c>
      <c r="D215" s="4" t="s">
        <v>24</v>
      </c>
      <c r="E215" s="4" t="s">
        <v>18</v>
      </c>
      <c r="F215" s="4" t="s">
        <v>18</v>
      </c>
      <c r="G215" s="5">
        <v>110318</v>
      </c>
      <c r="H215" s="5">
        <v>351407</v>
      </c>
      <c r="I215" s="4">
        <v>74</v>
      </c>
      <c r="J215" s="4">
        <v>0.97</v>
      </c>
      <c r="K215" s="4">
        <v>6.29</v>
      </c>
      <c r="L215" s="4">
        <v>1.2</v>
      </c>
      <c r="M215" s="4">
        <v>5</v>
      </c>
      <c r="N215" s="4">
        <v>532</v>
      </c>
      <c r="O215" s="4" t="str">
        <f t="shared" si="6"/>
        <v>EMI</v>
      </c>
      <c r="P215" s="5">
        <f t="shared" si="7"/>
        <v>111641.81600000001</v>
      </c>
    </row>
    <row r="216" spans="1:16" x14ac:dyDescent="0.25">
      <c r="A216" s="4">
        <v>2015</v>
      </c>
      <c r="B216" s="4">
        <v>10</v>
      </c>
      <c r="C216" s="12" t="s">
        <v>35</v>
      </c>
      <c r="D216" s="4" t="s">
        <v>32</v>
      </c>
      <c r="E216" s="4" t="s">
        <v>14</v>
      </c>
      <c r="F216" s="4" t="s">
        <v>25</v>
      </c>
      <c r="G216" s="5">
        <v>63557</v>
      </c>
      <c r="H216" s="5">
        <v>420635</v>
      </c>
      <c r="I216" s="4">
        <v>218</v>
      </c>
      <c r="J216" s="4">
        <v>0.97</v>
      </c>
      <c r="K216" s="4">
        <v>6.29</v>
      </c>
      <c r="L216" s="4">
        <v>1.2</v>
      </c>
      <c r="M216" s="4">
        <v>9</v>
      </c>
      <c r="N216" s="4">
        <v>542</v>
      </c>
      <c r="O216" s="4" t="str">
        <f t="shared" si="6"/>
        <v>EMI</v>
      </c>
      <c r="P216" s="5">
        <f t="shared" si="7"/>
        <v>64319.684000000001</v>
      </c>
    </row>
    <row r="217" spans="1:16" x14ac:dyDescent="0.25">
      <c r="A217" s="4">
        <v>2022</v>
      </c>
      <c r="B217" s="4">
        <v>10</v>
      </c>
      <c r="C217" s="12" t="s">
        <v>19</v>
      </c>
      <c r="D217" s="4" t="s">
        <v>16</v>
      </c>
      <c r="E217" s="4" t="s">
        <v>18</v>
      </c>
      <c r="F217" s="4" t="s">
        <v>15</v>
      </c>
      <c r="G217" s="5">
        <v>106334</v>
      </c>
      <c r="H217" s="5">
        <v>367231</v>
      </c>
      <c r="I217" s="4">
        <v>260</v>
      </c>
      <c r="J217" s="4">
        <v>0.97</v>
      </c>
      <c r="K217" s="4">
        <v>6.29</v>
      </c>
      <c r="L217" s="4">
        <v>1.2</v>
      </c>
      <c r="M217" s="4">
        <v>7</v>
      </c>
      <c r="N217" s="4">
        <v>796</v>
      </c>
      <c r="O217" s="4" t="str">
        <f t="shared" si="6"/>
        <v>EMI</v>
      </c>
      <c r="P217" s="5">
        <f t="shared" si="7"/>
        <v>107610.008</v>
      </c>
    </row>
    <row r="218" spans="1:16" x14ac:dyDescent="0.25">
      <c r="A218" s="4">
        <v>2021</v>
      </c>
      <c r="B218" s="4">
        <v>2</v>
      </c>
      <c r="C218" s="12" t="s">
        <v>28</v>
      </c>
      <c r="D218" s="4" t="s">
        <v>20</v>
      </c>
      <c r="E218" s="4" t="s">
        <v>14</v>
      </c>
      <c r="F218" s="4" t="s">
        <v>18</v>
      </c>
      <c r="G218" s="5">
        <v>110163</v>
      </c>
      <c r="H218" s="5">
        <v>485497</v>
      </c>
      <c r="I218" s="4">
        <v>394</v>
      </c>
      <c r="J218" s="4">
        <v>0.97</v>
      </c>
      <c r="K218" s="4">
        <v>6.29</v>
      </c>
      <c r="L218" s="4">
        <v>1.2</v>
      </c>
      <c r="M218" s="4">
        <v>8</v>
      </c>
      <c r="N218" s="4">
        <v>1237</v>
      </c>
      <c r="O218" s="4" t="str">
        <f t="shared" si="6"/>
        <v>EMI</v>
      </c>
      <c r="P218" s="5">
        <f t="shared" si="7"/>
        <v>111484.95600000001</v>
      </c>
    </row>
    <row r="219" spans="1:16" x14ac:dyDescent="0.25">
      <c r="A219" s="4">
        <v>2016</v>
      </c>
      <c r="B219" s="4">
        <v>7</v>
      </c>
      <c r="C219" s="12" t="s">
        <v>34</v>
      </c>
      <c r="D219" s="4" t="s">
        <v>13</v>
      </c>
      <c r="E219" s="4" t="s">
        <v>17</v>
      </c>
      <c r="F219" s="4" t="s">
        <v>18</v>
      </c>
      <c r="G219" s="5">
        <v>113002</v>
      </c>
      <c r="H219" s="5">
        <v>101482</v>
      </c>
      <c r="I219" s="4">
        <v>126</v>
      </c>
      <c r="J219" s="4">
        <v>0.97</v>
      </c>
      <c r="K219" s="4">
        <v>6.29</v>
      </c>
      <c r="L219" s="4">
        <v>1.2</v>
      </c>
      <c r="M219" s="4">
        <v>9</v>
      </c>
      <c r="N219" s="4">
        <v>318</v>
      </c>
      <c r="O219" s="4" t="str">
        <f t="shared" si="6"/>
        <v>EMI</v>
      </c>
      <c r="P219" s="5">
        <f t="shared" si="7"/>
        <v>114358.024</v>
      </c>
    </row>
    <row r="220" spans="1:16" x14ac:dyDescent="0.25">
      <c r="A220" s="4">
        <v>2022</v>
      </c>
      <c r="B220" s="4">
        <v>5</v>
      </c>
      <c r="C220" s="12" t="s">
        <v>36</v>
      </c>
      <c r="D220" s="4" t="s">
        <v>16</v>
      </c>
      <c r="E220" s="4" t="s">
        <v>17</v>
      </c>
      <c r="F220" s="4" t="s">
        <v>21</v>
      </c>
      <c r="G220" s="5">
        <v>77614</v>
      </c>
      <c r="H220" s="5">
        <v>498073</v>
      </c>
      <c r="I220" s="4">
        <v>125</v>
      </c>
      <c r="J220" s="4">
        <v>0.97</v>
      </c>
      <c r="K220" s="4">
        <v>6.29</v>
      </c>
      <c r="L220" s="4">
        <v>1.2</v>
      </c>
      <c r="M220" s="4">
        <v>7</v>
      </c>
      <c r="N220" s="4">
        <v>592</v>
      </c>
      <c r="O220" s="4" t="str">
        <f t="shared" si="6"/>
        <v>EMI</v>
      </c>
      <c r="P220" s="5">
        <f t="shared" si="7"/>
        <v>78545.368000000002</v>
      </c>
    </row>
    <row r="221" spans="1:16" x14ac:dyDescent="0.25">
      <c r="A221" s="4">
        <v>2015</v>
      </c>
      <c r="B221" s="4">
        <v>11</v>
      </c>
      <c r="C221" s="12" t="s">
        <v>26</v>
      </c>
      <c r="D221" s="4" t="s">
        <v>24</v>
      </c>
      <c r="E221" s="4" t="s">
        <v>14</v>
      </c>
      <c r="F221" s="4" t="s">
        <v>25</v>
      </c>
      <c r="G221" s="5">
        <v>47720</v>
      </c>
      <c r="H221" s="5">
        <v>172989</v>
      </c>
      <c r="I221" s="4">
        <v>246</v>
      </c>
      <c r="J221" s="4">
        <v>0.97</v>
      </c>
      <c r="K221" s="4">
        <v>6.29</v>
      </c>
      <c r="L221" s="4">
        <v>1.2</v>
      </c>
      <c r="M221" s="4">
        <v>5</v>
      </c>
      <c r="N221" s="4">
        <v>677</v>
      </c>
      <c r="O221" s="4" t="str">
        <f t="shared" si="6"/>
        <v>EMI</v>
      </c>
      <c r="P221" s="5">
        <f t="shared" si="7"/>
        <v>48292.639999999999</v>
      </c>
    </row>
    <row r="222" spans="1:16" x14ac:dyDescent="0.25">
      <c r="A222" s="4">
        <v>2023</v>
      </c>
      <c r="B222" s="4">
        <v>6</v>
      </c>
      <c r="C222" s="12" t="s">
        <v>12</v>
      </c>
      <c r="D222" s="4" t="s">
        <v>29</v>
      </c>
      <c r="E222" s="4" t="s">
        <v>18</v>
      </c>
      <c r="F222" s="4" t="s">
        <v>21</v>
      </c>
      <c r="G222" s="5">
        <v>92608</v>
      </c>
      <c r="H222" s="5">
        <v>460616</v>
      </c>
      <c r="I222" s="4">
        <v>114</v>
      </c>
      <c r="J222" s="4">
        <v>0.97</v>
      </c>
      <c r="K222" s="4">
        <v>6.29</v>
      </c>
      <c r="L222" s="4">
        <v>1.2</v>
      </c>
      <c r="M222" s="4">
        <v>5</v>
      </c>
      <c r="N222" s="4">
        <v>551</v>
      </c>
      <c r="O222" s="4" t="str">
        <f t="shared" si="6"/>
        <v>EMI</v>
      </c>
      <c r="P222" s="5">
        <f t="shared" si="7"/>
        <v>93719.296000000002</v>
      </c>
    </row>
    <row r="223" spans="1:16" x14ac:dyDescent="0.25">
      <c r="A223" s="4">
        <v>2023</v>
      </c>
      <c r="B223" s="4">
        <v>2</v>
      </c>
      <c r="C223" s="12" t="s">
        <v>35</v>
      </c>
      <c r="D223" s="4" t="s">
        <v>13</v>
      </c>
      <c r="E223" s="4" t="s">
        <v>17</v>
      </c>
      <c r="F223" s="4" t="s">
        <v>18</v>
      </c>
      <c r="G223" s="5">
        <v>107095</v>
      </c>
      <c r="H223" s="5">
        <v>352259</v>
      </c>
      <c r="I223" s="4">
        <v>268</v>
      </c>
      <c r="J223" s="4">
        <v>0.97</v>
      </c>
      <c r="K223" s="4">
        <v>6.29</v>
      </c>
      <c r="L223" s="4">
        <v>1.2</v>
      </c>
      <c r="M223" s="4">
        <v>10</v>
      </c>
      <c r="N223" s="4">
        <v>924</v>
      </c>
      <c r="O223" s="4" t="str">
        <f t="shared" si="6"/>
        <v>EMI</v>
      </c>
      <c r="P223" s="5">
        <f t="shared" si="7"/>
        <v>108380.14</v>
      </c>
    </row>
    <row r="224" spans="1:16" x14ac:dyDescent="0.25">
      <c r="A224" s="4">
        <v>2016</v>
      </c>
      <c r="B224" s="4">
        <v>5</v>
      </c>
      <c r="C224" s="12" t="s">
        <v>33</v>
      </c>
      <c r="D224" s="4" t="s">
        <v>29</v>
      </c>
      <c r="E224" s="4" t="s">
        <v>18</v>
      </c>
      <c r="F224" s="4" t="s">
        <v>18</v>
      </c>
      <c r="G224" s="5">
        <v>119694</v>
      </c>
      <c r="H224" s="5">
        <v>326393</v>
      </c>
      <c r="I224" s="4">
        <v>55</v>
      </c>
      <c r="J224" s="4">
        <v>0.97</v>
      </c>
      <c r="K224" s="4">
        <v>6.29</v>
      </c>
      <c r="L224" s="4">
        <v>1.2</v>
      </c>
      <c r="M224" s="4">
        <v>6</v>
      </c>
      <c r="N224" s="4">
        <v>536</v>
      </c>
      <c r="O224" s="4" t="str">
        <f t="shared" si="6"/>
        <v>EMI</v>
      </c>
      <c r="P224" s="5">
        <f t="shared" si="7"/>
        <v>121130.32799999999</v>
      </c>
    </row>
    <row r="225" spans="1:16" x14ac:dyDescent="0.25">
      <c r="A225" s="4">
        <v>2021</v>
      </c>
      <c r="B225" s="4">
        <v>10</v>
      </c>
      <c r="C225" s="12" t="s">
        <v>26</v>
      </c>
      <c r="D225" s="4" t="s">
        <v>20</v>
      </c>
      <c r="E225" s="4" t="s">
        <v>14</v>
      </c>
      <c r="F225" s="4" t="s">
        <v>18</v>
      </c>
      <c r="G225" s="5">
        <v>70892</v>
      </c>
      <c r="H225" s="5">
        <v>294255</v>
      </c>
      <c r="I225" s="4">
        <v>320</v>
      </c>
      <c r="J225" s="4">
        <v>0.97</v>
      </c>
      <c r="K225" s="4">
        <v>6.29</v>
      </c>
      <c r="L225" s="4">
        <v>1.2</v>
      </c>
      <c r="M225" s="4">
        <v>5</v>
      </c>
      <c r="N225" s="4">
        <v>1099</v>
      </c>
      <c r="O225" s="4" t="str">
        <f t="shared" si="6"/>
        <v>EMI</v>
      </c>
      <c r="P225" s="5">
        <f t="shared" si="7"/>
        <v>71742.703999999998</v>
      </c>
    </row>
    <row r="226" spans="1:16" x14ac:dyDescent="0.25">
      <c r="A226" s="4">
        <v>2024</v>
      </c>
      <c r="B226" s="4">
        <v>4</v>
      </c>
      <c r="C226" s="12" t="s">
        <v>30</v>
      </c>
      <c r="D226" s="4" t="s">
        <v>32</v>
      </c>
      <c r="E226" s="4" t="s">
        <v>18</v>
      </c>
      <c r="F226" s="4" t="s">
        <v>21</v>
      </c>
      <c r="G226" s="5">
        <v>112242</v>
      </c>
      <c r="H226" s="5">
        <v>490041</v>
      </c>
      <c r="I226" s="4">
        <v>340</v>
      </c>
      <c r="J226" s="4">
        <v>0.97</v>
      </c>
      <c r="K226" s="4">
        <v>6.29</v>
      </c>
      <c r="L226" s="4">
        <v>1.2</v>
      </c>
      <c r="M226" s="4">
        <v>9</v>
      </c>
      <c r="N226" s="4">
        <v>894</v>
      </c>
      <c r="O226" s="4" t="str">
        <f t="shared" si="6"/>
        <v>EMI</v>
      </c>
      <c r="P226" s="5">
        <f t="shared" si="7"/>
        <v>113588.90399999999</v>
      </c>
    </row>
    <row r="227" spans="1:16" x14ac:dyDescent="0.25">
      <c r="A227" s="4">
        <v>2017</v>
      </c>
      <c r="B227" s="4">
        <v>9</v>
      </c>
      <c r="C227" s="12" t="s">
        <v>23</v>
      </c>
      <c r="D227" s="4" t="s">
        <v>16</v>
      </c>
      <c r="E227" s="4" t="s">
        <v>17</v>
      </c>
      <c r="F227" s="4" t="s">
        <v>25</v>
      </c>
      <c r="G227" s="5">
        <v>112606</v>
      </c>
      <c r="H227" s="5">
        <v>160361</v>
      </c>
      <c r="I227" s="4">
        <v>225</v>
      </c>
      <c r="J227" s="4">
        <v>0.97</v>
      </c>
      <c r="K227" s="4">
        <v>6.29</v>
      </c>
      <c r="L227" s="4">
        <v>1.2</v>
      </c>
      <c r="M227" s="4">
        <v>3</v>
      </c>
      <c r="N227" s="4">
        <v>665</v>
      </c>
      <c r="O227" s="4" t="str">
        <f t="shared" si="6"/>
        <v>EMI</v>
      </c>
      <c r="P227" s="5">
        <f t="shared" si="7"/>
        <v>113957.272</v>
      </c>
    </row>
    <row r="228" spans="1:16" x14ac:dyDescent="0.25">
      <c r="A228" s="4">
        <v>2021</v>
      </c>
      <c r="B228" s="4">
        <v>6</v>
      </c>
      <c r="C228" s="12" t="s">
        <v>36</v>
      </c>
      <c r="D228" s="4" t="s">
        <v>16</v>
      </c>
      <c r="E228" s="4" t="s">
        <v>18</v>
      </c>
      <c r="F228" s="4" t="s">
        <v>15</v>
      </c>
      <c r="G228" s="5">
        <v>35924</v>
      </c>
      <c r="H228" s="5">
        <v>336744</v>
      </c>
      <c r="I228" s="4">
        <v>310</v>
      </c>
      <c r="J228" s="4">
        <v>0.97</v>
      </c>
      <c r="K228" s="4">
        <v>6.29</v>
      </c>
      <c r="L228" s="4">
        <v>1.2</v>
      </c>
      <c r="M228" s="4">
        <v>3</v>
      </c>
      <c r="N228" s="4">
        <v>830</v>
      </c>
      <c r="O228" s="4" t="str">
        <f t="shared" si="6"/>
        <v>EMI</v>
      </c>
      <c r="P228" s="5">
        <f t="shared" si="7"/>
        <v>36355.088000000003</v>
      </c>
    </row>
    <row r="229" spans="1:16" x14ac:dyDescent="0.25">
      <c r="A229" s="4">
        <v>2024</v>
      </c>
      <c r="B229" s="4">
        <v>2</v>
      </c>
      <c r="C229" s="12" t="s">
        <v>33</v>
      </c>
      <c r="D229" s="4" t="s">
        <v>31</v>
      </c>
      <c r="E229" s="4" t="s">
        <v>18</v>
      </c>
      <c r="F229" s="4" t="s">
        <v>21</v>
      </c>
      <c r="G229" s="5">
        <v>86322</v>
      </c>
      <c r="H229" s="5">
        <v>349850</v>
      </c>
      <c r="I229" s="4">
        <v>342</v>
      </c>
      <c r="J229" s="4">
        <v>0.97</v>
      </c>
      <c r="K229" s="4">
        <v>6.29</v>
      </c>
      <c r="L229" s="4">
        <v>1.2</v>
      </c>
      <c r="M229" s="4">
        <v>7</v>
      </c>
      <c r="N229" s="4">
        <v>705</v>
      </c>
      <c r="O229" s="4" t="str">
        <f t="shared" si="6"/>
        <v>EMI</v>
      </c>
      <c r="P229" s="5">
        <f t="shared" si="7"/>
        <v>87357.864000000001</v>
      </c>
    </row>
    <row r="230" spans="1:16" x14ac:dyDescent="0.25">
      <c r="A230" s="4">
        <v>2023</v>
      </c>
      <c r="B230" s="4">
        <v>1</v>
      </c>
      <c r="C230" s="12" t="s">
        <v>23</v>
      </c>
      <c r="D230" s="4" t="s">
        <v>13</v>
      </c>
      <c r="E230" s="4" t="s">
        <v>14</v>
      </c>
      <c r="F230" s="4" t="s">
        <v>18</v>
      </c>
      <c r="G230" s="5">
        <v>61478</v>
      </c>
      <c r="H230" s="5">
        <v>331366</v>
      </c>
      <c r="I230" s="4">
        <v>33</v>
      </c>
      <c r="J230" s="4">
        <v>0.97</v>
      </c>
      <c r="K230" s="4">
        <v>6.29</v>
      </c>
      <c r="L230" s="4">
        <v>1.2</v>
      </c>
      <c r="M230" s="4">
        <v>7</v>
      </c>
      <c r="N230" s="4">
        <v>360</v>
      </c>
      <c r="O230" s="4" t="str">
        <f t="shared" si="6"/>
        <v>EMI</v>
      </c>
      <c r="P230" s="5">
        <f t="shared" si="7"/>
        <v>62215.735999999997</v>
      </c>
    </row>
    <row r="231" spans="1:16" x14ac:dyDescent="0.25">
      <c r="A231" s="4">
        <v>2018</v>
      </c>
      <c r="B231" s="4">
        <v>5</v>
      </c>
      <c r="C231" s="12" t="s">
        <v>36</v>
      </c>
      <c r="D231" s="4" t="s">
        <v>37</v>
      </c>
      <c r="E231" s="4" t="s">
        <v>14</v>
      </c>
      <c r="F231" s="4" t="s">
        <v>21</v>
      </c>
      <c r="G231" s="5">
        <v>106042</v>
      </c>
      <c r="H231" s="5">
        <v>411185</v>
      </c>
      <c r="I231" s="4">
        <v>44</v>
      </c>
      <c r="J231" s="4">
        <v>0.97</v>
      </c>
      <c r="K231" s="4">
        <v>6.29</v>
      </c>
      <c r="L231" s="4">
        <v>1.2</v>
      </c>
      <c r="M231" s="4">
        <v>6</v>
      </c>
      <c r="N231" s="4">
        <v>152</v>
      </c>
      <c r="O231" s="4" t="str">
        <f t="shared" si="6"/>
        <v>EMI</v>
      </c>
      <c r="P231" s="5">
        <f t="shared" si="7"/>
        <v>107314.504</v>
      </c>
    </row>
    <row r="232" spans="1:16" x14ac:dyDescent="0.25">
      <c r="A232" s="4">
        <v>2015</v>
      </c>
      <c r="B232" s="4">
        <v>9</v>
      </c>
      <c r="C232" s="12" t="s">
        <v>19</v>
      </c>
      <c r="D232" s="4" t="s">
        <v>24</v>
      </c>
      <c r="E232" s="4" t="s">
        <v>14</v>
      </c>
      <c r="F232" s="4" t="s">
        <v>18</v>
      </c>
      <c r="G232" s="5">
        <v>81418</v>
      </c>
      <c r="H232" s="5">
        <v>416648</v>
      </c>
      <c r="I232" s="4">
        <v>33</v>
      </c>
      <c r="J232" s="4">
        <v>0.97</v>
      </c>
      <c r="K232" s="4">
        <v>6.29</v>
      </c>
      <c r="L232" s="4">
        <v>1.2</v>
      </c>
      <c r="M232" s="4">
        <v>3</v>
      </c>
      <c r="N232" s="4">
        <v>162</v>
      </c>
      <c r="O232" s="4" t="str">
        <f t="shared" si="6"/>
        <v>EMI</v>
      </c>
      <c r="P232" s="5">
        <f t="shared" si="7"/>
        <v>82395.016000000003</v>
      </c>
    </row>
    <row r="233" spans="1:16" x14ac:dyDescent="0.25">
      <c r="A233" s="4">
        <v>2016</v>
      </c>
      <c r="B233" s="4">
        <v>6</v>
      </c>
      <c r="C233" s="12" t="s">
        <v>12</v>
      </c>
      <c r="D233" s="4" t="s">
        <v>37</v>
      </c>
      <c r="E233" s="4" t="s">
        <v>17</v>
      </c>
      <c r="F233" s="4" t="s">
        <v>15</v>
      </c>
      <c r="G233" s="5">
        <v>97217</v>
      </c>
      <c r="H233" s="5">
        <v>91139</v>
      </c>
      <c r="I233" s="4">
        <v>37</v>
      </c>
      <c r="J233" s="4">
        <v>0.97</v>
      </c>
      <c r="K233" s="4">
        <v>6.29</v>
      </c>
      <c r="L233" s="4">
        <v>1.2</v>
      </c>
      <c r="M233" s="4">
        <v>7</v>
      </c>
      <c r="N233" s="4">
        <v>411</v>
      </c>
      <c r="O233" s="4" t="str">
        <f t="shared" si="6"/>
        <v>EMI</v>
      </c>
      <c r="P233" s="5">
        <f t="shared" si="7"/>
        <v>98383.604000000007</v>
      </c>
    </row>
    <row r="234" spans="1:16" x14ac:dyDescent="0.25">
      <c r="A234" s="4">
        <v>2015</v>
      </c>
      <c r="B234" s="4">
        <v>10</v>
      </c>
      <c r="C234" s="12" t="s">
        <v>26</v>
      </c>
      <c r="D234" s="4" t="s">
        <v>31</v>
      </c>
      <c r="E234" s="4" t="s">
        <v>17</v>
      </c>
      <c r="F234" s="4" t="s">
        <v>15</v>
      </c>
      <c r="G234" s="5">
        <v>115846</v>
      </c>
      <c r="H234" s="5">
        <v>164919</v>
      </c>
      <c r="I234" s="4">
        <v>25</v>
      </c>
      <c r="J234" s="4">
        <v>0.97</v>
      </c>
      <c r="K234" s="4">
        <v>6.29</v>
      </c>
      <c r="L234" s="4">
        <v>1.2</v>
      </c>
      <c r="M234" s="4">
        <v>5</v>
      </c>
      <c r="N234" s="4">
        <v>359</v>
      </c>
      <c r="O234" s="4" t="str">
        <f t="shared" si="6"/>
        <v>EMI</v>
      </c>
      <c r="P234" s="5">
        <f t="shared" si="7"/>
        <v>117236.152</v>
      </c>
    </row>
    <row r="235" spans="1:16" x14ac:dyDescent="0.25">
      <c r="A235" s="4">
        <v>2019</v>
      </c>
      <c r="B235" s="4">
        <v>12</v>
      </c>
      <c r="C235" s="12" t="s">
        <v>28</v>
      </c>
      <c r="D235" s="4" t="s">
        <v>20</v>
      </c>
      <c r="E235" s="4" t="s">
        <v>14</v>
      </c>
      <c r="F235" s="4" t="s">
        <v>25</v>
      </c>
      <c r="G235" s="5">
        <v>108762</v>
      </c>
      <c r="H235" s="5">
        <v>297677</v>
      </c>
      <c r="I235" s="4">
        <v>68</v>
      </c>
      <c r="J235" s="4">
        <v>0.97</v>
      </c>
      <c r="K235" s="4">
        <v>6.29</v>
      </c>
      <c r="L235" s="4">
        <v>1.2</v>
      </c>
      <c r="M235" s="4">
        <v>7</v>
      </c>
      <c r="N235" s="4">
        <v>367</v>
      </c>
      <c r="O235" s="4" t="str">
        <f t="shared" si="6"/>
        <v>EMI</v>
      </c>
      <c r="P235" s="5">
        <f t="shared" si="7"/>
        <v>110067.144</v>
      </c>
    </row>
    <row r="236" spans="1:16" x14ac:dyDescent="0.25">
      <c r="A236" s="4">
        <v>2019</v>
      </c>
      <c r="B236" s="4">
        <v>7</v>
      </c>
      <c r="C236" s="12" t="s">
        <v>36</v>
      </c>
      <c r="D236" s="4" t="s">
        <v>24</v>
      </c>
      <c r="E236" s="4" t="s">
        <v>14</v>
      </c>
      <c r="F236" s="4" t="s">
        <v>18</v>
      </c>
      <c r="G236" s="5">
        <v>46781</v>
      </c>
      <c r="H236" s="5">
        <v>353446</v>
      </c>
      <c r="I236" s="4">
        <v>252</v>
      </c>
      <c r="J236" s="4">
        <v>0.97</v>
      </c>
      <c r="K236" s="4">
        <v>6.29</v>
      </c>
      <c r="L236" s="4">
        <v>1.2</v>
      </c>
      <c r="M236" s="4">
        <v>2</v>
      </c>
      <c r="N236" s="4">
        <v>644</v>
      </c>
      <c r="O236" s="4" t="str">
        <f t="shared" si="6"/>
        <v>Discount</v>
      </c>
      <c r="P236" s="5">
        <f t="shared" si="7"/>
        <v>42102.9</v>
      </c>
    </row>
    <row r="237" spans="1:16" x14ac:dyDescent="0.25">
      <c r="A237" s="4">
        <v>2021</v>
      </c>
      <c r="B237" s="4">
        <v>5</v>
      </c>
      <c r="C237" s="12" t="s">
        <v>28</v>
      </c>
      <c r="D237" s="4" t="s">
        <v>32</v>
      </c>
      <c r="E237" s="4" t="s">
        <v>17</v>
      </c>
      <c r="F237" s="4" t="s">
        <v>25</v>
      </c>
      <c r="G237" s="5">
        <v>40515</v>
      </c>
      <c r="H237" s="5">
        <v>275756</v>
      </c>
      <c r="I237" s="4">
        <v>216</v>
      </c>
      <c r="J237" s="4">
        <v>0.97</v>
      </c>
      <c r="K237" s="4">
        <v>6.29</v>
      </c>
      <c r="L237" s="4">
        <v>1.2</v>
      </c>
      <c r="M237" s="4">
        <v>6</v>
      </c>
      <c r="N237" s="4">
        <v>530</v>
      </c>
      <c r="O237" s="4" t="str">
        <f t="shared" si="6"/>
        <v>EMI</v>
      </c>
      <c r="P237" s="5">
        <f t="shared" si="7"/>
        <v>41001.18</v>
      </c>
    </row>
    <row r="238" spans="1:16" x14ac:dyDescent="0.25">
      <c r="A238" s="4">
        <v>2023</v>
      </c>
      <c r="B238" s="4">
        <v>10</v>
      </c>
      <c r="C238" s="12" t="s">
        <v>12</v>
      </c>
      <c r="D238" s="4" t="s">
        <v>37</v>
      </c>
      <c r="E238" s="4" t="s">
        <v>17</v>
      </c>
      <c r="F238" s="4" t="s">
        <v>25</v>
      </c>
      <c r="G238" s="5">
        <v>71133</v>
      </c>
      <c r="H238" s="5">
        <v>399982</v>
      </c>
      <c r="I238" s="4">
        <v>280</v>
      </c>
      <c r="J238" s="4">
        <v>0.97</v>
      </c>
      <c r="K238" s="4">
        <v>6.29</v>
      </c>
      <c r="L238" s="4">
        <v>1.2</v>
      </c>
      <c r="M238" s="4">
        <v>8</v>
      </c>
      <c r="N238" s="4">
        <v>899</v>
      </c>
      <c r="O238" s="4" t="str">
        <f t="shared" si="6"/>
        <v>EMI</v>
      </c>
      <c r="P238" s="5">
        <f t="shared" si="7"/>
        <v>71986.596000000005</v>
      </c>
    </row>
    <row r="239" spans="1:16" x14ac:dyDescent="0.25">
      <c r="A239" s="4">
        <v>2023</v>
      </c>
      <c r="B239" s="4">
        <v>6</v>
      </c>
      <c r="C239" s="12" t="s">
        <v>35</v>
      </c>
      <c r="D239" s="4" t="s">
        <v>32</v>
      </c>
      <c r="E239" s="4" t="s">
        <v>17</v>
      </c>
      <c r="F239" s="4" t="s">
        <v>15</v>
      </c>
      <c r="G239" s="5">
        <v>117508</v>
      </c>
      <c r="H239" s="5">
        <v>189718</v>
      </c>
      <c r="I239" s="4">
        <v>258</v>
      </c>
      <c r="J239" s="4">
        <v>0.97</v>
      </c>
      <c r="K239" s="4">
        <v>6.29</v>
      </c>
      <c r="L239" s="4">
        <v>1.2</v>
      </c>
      <c r="M239" s="4">
        <v>1</v>
      </c>
      <c r="N239" s="4">
        <v>550</v>
      </c>
      <c r="O239" s="4" t="str">
        <f t="shared" si="6"/>
        <v>Full</v>
      </c>
      <c r="P239" s="5">
        <f t="shared" si="7"/>
        <v>117508</v>
      </c>
    </row>
    <row r="240" spans="1:16" x14ac:dyDescent="0.25">
      <c r="A240" s="4">
        <v>2017</v>
      </c>
      <c r="B240" s="4">
        <v>5</v>
      </c>
      <c r="C240" s="12" t="s">
        <v>30</v>
      </c>
      <c r="D240" s="4" t="s">
        <v>37</v>
      </c>
      <c r="E240" s="4" t="s">
        <v>17</v>
      </c>
      <c r="F240" s="4" t="s">
        <v>21</v>
      </c>
      <c r="G240" s="5">
        <v>111946</v>
      </c>
      <c r="H240" s="5">
        <v>194615</v>
      </c>
      <c r="I240" s="4">
        <v>276</v>
      </c>
      <c r="J240" s="4">
        <v>0.97</v>
      </c>
      <c r="K240" s="4">
        <v>6.29</v>
      </c>
      <c r="L240" s="4">
        <v>1.2</v>
      </c>
      <c r="M240" s="4">
        <v>4</v>
      </c>
      <c r="N240" s="4">
        <v>903</v>
      </c>
      <c r="O240" s="4" t="str">
        <f t="shared" si="6"/>
        <v>EMI</v>
      </c>
      <c r="P240" s="5">
        <f t="shared" si="7"/>
        <v>113289.352</v>
      </c>
    </row>
    <row r="241" spans="1:16" x14ac:dyDescent="0.25">
      <c r="A241" s="4">
        <v>2017</v>
      </c>
      <c r="B241" s="4">
        <v>11</v>
      </c>
      <c r="C241" s="12" t="s">
        <v>26</v>
      </c>
      <c r="D241" s="4" t="s">
        <v>32</v>
      </c>
      <c r="E241" s="4" t="s">
        <v>14</v>
      </c>
      <c r="F241" s="4" t="s">
        <v>21</v>
      </c>
      <c r="G241" s="5">
        <v>44095</v>
      </c>
      <c r="H241" s="5">
        <v>275568</v>
      </c>
      <c r="I241" s="4">
        <v>202</v>
      </c>
      <c r="J241" s="4">
        <v>0.97</v>
      </c>
      <c r="K241" s="4">
        <v>6.29</v>
      </c>
      <c r="L241" s="4">
        <v>1.2</v>
      </c>
      <c r="M241" s="4">
        <v>1</v>
      </c>
      <c r="N241" s="4">
        <v>860</v>
      </c>
      <c r="O241" s="4" t="str">
        <f t="shared" si="6"/>
        <v>Full</v>
      </c>
      <c r="P241" s="5">
        <f t="shared" si="7"/>
        <v>44095</v>
      </c>
    </row>
    <row r="242" spans="1:16" x14ac:dyDescent="0.25">
      <c r="A242" s="4">
        <v>2017</v>
      </c>
      <c r="B242" s="4">
        <v>9</v>
      </c>
      <c r="C242" s="12" t="s">
        <v>12</v>
      </c>
      <c r="D242" s="4" t="s">
        <v>37</v>
      </c>
      <c r="E242" s="4" t="s">
        <v>17</v>
      </c>
      <c r="F242" s="4" t="s">
        <v>25</v>
      </c>
      <c r="G242" s="5">
        <v>55470</v>
      </c>
      <c r="H242" s="5">
        <v>203857</v>
      </c>
      <c r="I242" s="4">
        <v>344</v>
      </c>
      <c r="J242" s="4">
        <v>0.97</v>
      </c>
      <c r="K242" s="4">
        <v>6.29</v>
      </c>
      <c r="L242" s="4">
        <v>1.2</v>
      </c>
      <c r="M242" s="4">
        <v>1</v>
      </c>
      <c r="N242" s="4">
        <v>1012</v>
      </c>
      <c r="O242" s="4" t="str">
        <f t="shared" si="6"/>
        <v>Full</v>
      </c>
      <c r="P242" s="5">
        <f t="shared" si="7"/>
        <v>55470</v>
      </c>
    </row>
    <row r="243" spans="1:16" x14ac:dyDescent="0.25">
      <c r="A243" s="4">
        <v>2018</v>
      </c>
      <c r="B243" s="4">
        <v>6</v>
      </c>
      <c r="C243" s="12" t="s">
        <v>12</v>
      </c>
      <c r="D243" s="4" t="s">
        <v>32</v>
      </c>
      <c r="E243" s="4" t="s">
        <v>14</v>
      </c>
      <c r="F243" s="4" t="s">
        <v>15</v>
      </c>
      <c r="G243" s="5">
        <v>78129</v>
      </c>
      <c r="H243" s="5">
        <v>390497</v>
      </c>
      <c r="I243" s="4">
        <v>227</v>
      </c>
      <c r="J243" s="4">
        <v>0.97</v>
      </c>
      <c r="K243" s="4">
        <v>6.29</v>
      </c>
      <c r="L243" s="4">
        <v>1.2</v>
      </c>
      <c r="M243" s="4">
        <v>10</v>
      </c>
      <c r="N243" s="4">
        <v>538</v>
      </c>
      <c r="O243" s="4" t="str">
        <f t="shared" si="6"/>
        <v>EMI</v>
      </c>
      <c r="P243" s="5">
        <f t="shared" si="7"/>
        <v>79066.547999999995</v>
      </c>
    </row>
    <row r="244" spans="1:16" x14ac:dyDescent="0.25">
      <c r="A244" s="4">
        <v>2022</v>
      </c>
      <c r="B244" s="4">
        <v>11</v>
      </c>
      <c r="C244" s="12" t="s">
        <v>19</v>
      </c>
      <c r="D244" s="4" t="s">
        <v>31</v>
      </c>
      <c r="E244" s="4" t="s">
        <v>18</v>
      </c>
      <c r="F244" s="4" t="s">
        <v>18</v>
      </c>
      <c r="G244" s="5">
        <v>43531</v>
      </c>
      <c r="H244" s="5">
        <v>474622</v>
      </c>
      <c r="I244" s="4">
        <v>124</v>
      </c>
      <c r="J244" s="4">
        <v>0.97</v>
      </c>
      <c r="K244" s="4">
        <v>6.29</v>
      </c>
      <c r="L244" s="4">
        <v>1.2</v>
      </c>
      <c r="M244" s="4">
        <v>8</v>
      </c>
      <c r="N244" s="4">
        <v>516</v>
      </c>
      <c r="O244" s="4" t="str">
        <f t="shared" si="6"/>
        <v>EMI</v>
      </c>
      <c r="P244" s="5">
        <f t="shared" si="7"/>
        <v>44053.372000000003</v>
      </c>
    </row>
    <row r="245" spans="1:16" x14ac:dyDescent="0.25">
      <c r="A245" s="4">
        <v>2020</v>
      </c>
      <c r="B245" s="4">
        <v>8</v>
      </c>
      <c r="C245" s="12" t="s">
        <v>23</v>
      </c>
      <c r="D245" s="4" t="s">
        <v>27</v>
      </c>
      <c r="E245" s="4" t="s">
        <v>18</v>
      </c>
      <c r="F245" s="4" t="s">
        <v>21</v>
      </c>
      <c r="G245" s="5">
        <v>72038</v>
      </c>
      <c r="H245" s="5">
        <v>401136</v>
      </c>
      <c r="I245" s="4">
        <v>77</v>
      </c>
      <c r="J245" s="4">
        <v>0.97</v>
      </c>
      <c r="K245" s="4">
        <v>6.29</v>
      </c>
      <c r="L245" s="4">
        <v>1.2</v>
      </c>
      <c r="M245" s="4">
        <v>7</v>
      </c>
      <c r="N245" s="4">
        <v>407</v>
      </c>
      <c r="O245" s="4" t="str">
        <f t="shared" si="6"/>
        <v>EMI</v>
      </c>
      <c r="P245" s="5">
        <f t="shared" si="7"/>
        <v>72902.456000000006</v>
      </c>
    </row>
    <row r="246" spans="1:16" x14ac:dyDescent="0.25">
      <c r="A246" s="4">
        <v>2022</v>
      </c>
      <c r="B246" s="4">
        <v>2</v>
      </c>
      <c r="C246" s="12" t="s">
        <v>30</v>
      </c>
      <c r="D246" s="4" t="s">
        <v>24</v>
      </c>
      <c r="E246" s="4" t="s">
        <v>17</v>
      </c>
      <c r="F246" s="4" t="s">
        <v>25</v>
      </c>
      <c r="G246" s="5">
        <v>77674</v>
      </c>
      <c r="H246" s="5">
        <v>363572</v>
      </c>
      <c r="I246" s="4">
        <v>308</v>
      </c>
      <c r="J246" s="4">
        <v>0.97</v>
      </c>
      <c r="K246" s="4">
        <v>6.29</v>
      </c>
      <c r="L246" s="4">
        <v>1.2</v>
      </c>
      <c r="M246" s="4">
        <v>10</v>
      </c>
      <c r="N246" s="4">
        <v>925</v>
      </c>
      <c r="O246" s="4" t="str">
        <f t="shared" si="6"/>
        <v>EMI</v>
      </c>
      <c r="P246" s="5">
        <f t="shared" si="7"/>
        <v>78606.088000000003</v>
      </c>
    </row>
    <row r="247" spans="1:16" x14ac:dyDescent="0.25">
      <c r="A247" s="4">
        <v>2015</v>
      </c>
      <c r="B247" s="4">
        <v>12</v>
      </c>
      <c r="C247" s="12" t="s">
        <v>26</v>
      </c>
      <c r="D247" s="4" t="s">
        <v>13</v>
      </c>
      <c r="E247" s="4" t="s">
        <v>18</v>
      </c>
      <c r="F247" s="4" t="s">
        <v>21</v>
      </c>
      <c r="G247" s="5">
        <v>117476</v>
      </c>
      <c r="H247" s="5">
        <v>73777</v>
      </c>
      <c r="I247" s="4">
        <v>334</v>
      </c>
      <c r="J247" s="4">
        <v>0.97</v>
      </c>
      <c r="K247" s="4">
        <v>6.29</v>
      </c>
      <c r="L247" s="4">
        <v>1.2</v>
      </c>
      <c r="M247" s="4">
        <v>1</v>
      </c>
      <c r="N247" s="4">
        <v>1025</v>
      </c>
      <c r="O247" s="4" t="str">
        <f t="shared" si="6"/>
        <v>Full</v>
      </c>
      <c r="P247" s="5">
        <f t="shared" si="7"/>
        <v>117476</v>
      </c>
    </row>
    <row r="248" spans="1:16" x14ac:dyDescent="0.25">
      <c r="A248" s="4">
        <v>2022</v>
      </c>
      <c r="B248" s="4">
        <v>9</v>
      </c>
      <c r="C248" s="12" t="s">
        <v>35</v>
      </c>
      <c r="D248" s="4" t="s">
        <v>20</v>
      </c>
      <c r="E248" s="4" t="s">
        <v>18</v>
      </c>
      <c r="F248" s="4" t="s">
        <v>21</v>
      </c>
      <c r="G248" s="5">
        <v>64831</v>
      </c>
      <c r="H248" s="5">
        <v>107939</v>
      </c>
      <c r="I248" s="4">
        <v>84</v>
      </c>
      <c r="J248" s="4">
        <v>0.97</v>
      </c>
      <c r="K248" s="4">
        <v>6.29</v>
      </c>
      <c r="L248" s="4">
        <v>1.2</v>
      </c>
      <c r="M248" s="4">
        <v>2</v>
      </c>
      <c r="N248" s="4">
        <v>450</v>
      </c>
      <c r="O248" s="4" t="str">
        <f t="shared" si="6"/>
        <v>Full</v>
      </c>
      <c r="P248" s="5">
        <f t="shared" si="7"/>
        <v>64831</v>
      </c>
    </row>
    <row r="249" spans="1:16" x14ac:dyDescent="0.25">
      <c r="A249" s="4">
        <v>2018</v>
      </c>
      <c r="B249" s="4">
        <v>5</v>
      </c>
      <c r="C249" s="12" t="s">
        <v>35</v>
      </c>
      <c r="D249" s="4" t="s">
        <v>22</v>
      </c>
      <c r="E249" s="4" t="s">
        <v>18</v>
      </c>
      <c r="F249" s="4" t="s">
        <v>18</v>
      </c>
      <c r="G249" s="5">
        <v>92174</v>
      </c>
      <c r="H249" s="5">
        <v>496242</v>
      </c>
      <c r="I249" s="4">
        <v>112</v>
      </c>
      <c r="J249" s="4">
        <v>0.97</v>
      </c>
      <c r="K249" s="4">
        <v>6.29</v>
      </c>
      <c r="L249" s="4">
        <v>1.2</v>
      </c>
      <c r="M249" s="4">
        <v>4</v>
      </c>
      <c r="N249" s="4">
        <v>543</v>
      </c>
      <c r="O249" s="4" t="str">
        <f t="shared" si="6"/>
        <v>EMI</v>
      </c>
      <c r="P249" s="5">
        <f t="shared" si="7"/>
        <v>93280.088000000003</v>
      </c>
    </row>
    <row r="250" spans="1:16" x14ac:dyDescent="0.25">
      <c r="A250" s="4">
        <v>2015</v>
      </c>
      <c r="B250" s="4">
        <v>7</v>
      </c>
      <c r="C250" s="12" t="s">
        <v>34</v>
      </c>
      <c r="D250" s="4" t="s">
        <v>29</v>
      </c>
      <c r="E250" s="4" t="s">
        <v>17</v>
      </c>
      <c r="F250" s="4" t="s">
        <v>15</v>
      </c>
      <c r="G250" s="5">
        <v>46279</v>
      </c>
      <c r="H250" s="5">
        <v>398594</v>
      </c>
      <c r="I250" s="4">
        <v>306</v>
      </c>
      <c r="J250" s="4">
        <v>0.97</v>
      </c>
      <c r="K250" s="4">
        <v>6.29</v>
      </c>
      <c r="L250" s="4">
        <v>1.2</v>
      </c>
      <c r="M250" s="4">
        <v>1</v>
      </c>
      <c r="N250" s="4">
        <v>999</v>
      </c>
      <c r="O250" s="4" t="str">
        <f t="shared" si="6"/>
        <v>Discount</v>
      </c>
      <c r="P250" s="5">
        <f t="shared" si="7"/>
        <v>41651.1</v>
      </c>
    </row>
    <row r="251" spans="1:16" x14ac:dyDescent="0.25">
      <c r="A251" s="4">
        <v>2022</v>
      </c>
      <c r="B251" s="4">
        <v>10</v>
      </c>
      <c r="C251" s="12" t="s">
        <v>12</v>
      </c>
      <c r="D251" s="4" t="s">
        <v>13</v>
      </c>
      <c r="E251" s="4" t="s">
        <v>17</v>
      </c>
      <c r="F251" s="4" t="s">
        <v>18</v>
      </c>
      <c r="G251" s="5">
        <v>73220</v>
      </c>
      <c r="H251" s="5">
        <v>472769</v>
      </c>
      <c r="I251" s="4">
        <v>187</v>
      </c>
      <c r="J251" s="4">
        <v>0.97</v>
      </c>
      <c r="K251" s="4">
        <v>6.29</v>
      </c>
      <c r="L251" s="4">
        <v>1.2</v>
      </c>
      <c r="M251" s="4">
        <v>3</v>
      </c>
      <c r="N251" s="4">
        <v>811</v>
      </c>
      <c r="O251" s="4" t="str">
        <f t="shared" si="6"/>
        <v>EMI</v>
      </c>
      <c r="P251" s="5">
        <f t="shared" si="7"/>
        <v>74098.64</v>
      </c>
    </row>
    <row r="252" spans="1:16" x14ac:dyDescent="0.25">
      <c r="A252" s="4">
        <v>2018</v>
      </c>
      <c r="B252" s="4">
        <v>1</v>
      </c>
      <c r="C252" s="12" t="s">
        <v>36</v>
      </c>
      <c r="D252" s="4" t="s">
        <v>29</v>
      </c>
      <c r="E252" s="4" t="s">
        <v>18</v>
      </c>
      <c r="F252" s="4" t="s">
        <v>15</v>
      </c>
      <c r="G252" s="5">
        <v>95610</v>
      </c>
      <c r="H252" s="5">
        <v>73548</v>
      </c>
      <c r="I252" s="4">
        <v>224</v>
      </c>
      <c r="J252" s="4">
        <v>0.97</v>
      </c>
      <c r="K252" s="4">
        <v>6.29</v>
      </c>
      <c r="L252" s="4">
        <v>1.2</v>
      </c>
      <c r="M252" s="4">
        <v>8</v>
      </c>
      <c r="N252" s="4">
        <v>685</v>
      </c>
      <c r="O252" s="4" t="str">
        <f t="shared" si="6"/>
        <v>EMI</v>
      </c>
      <c r="P252" s="5">
        <f t="shared" si="7"/>
        <v>96757.32</v>
      </c>
    </row>
    <row r="253" spans="1:16" x14ac:dyDescent="0.25">
      <c r="A253" s="4">
        <v>2020</v>
      </c>
      <c r="B253" s="4">
        <v>10</v>
      </c>
      <c r="C253" s="12" t="s">
        <v>19</v>
      </c>
      <c r="D253" s="4" t="s">
        <v>24</v>
      </c>
      <c r="E253" s="4" t="s">
        <v>14</v>
      </c>
      <c r="F253" s="4" t="s">
        <v>21</v>
      </c>
      <c r="G253" s="5">
        <v>87719</v>
      </c>
      <c r="H253" s="5">
        <v>480481</v>
      </c>
      <c r="I253" s="4">
        <v>324</v>
      </c>
      <c r="J253" s="4">
        <v>0.97</v>
      </c>
      <c r="K253" s="4">
        <v>6.29</v>
      </c>
      <c r="L253" s="4">
        <v>1.2</v>
      </c>
      <c r="M253" s="4">
        <v>8</v>
      </c>
      <c r="N253" s="4">
        <v>847</v>
      </c>
      <c r="O253" s="4" t="str">
        <f t="shared" si="6"/>
        <v>EMI</v>
      </c>
      <c r="P253" s="5">
        <f t="shared" si="7"/>
        <v>88771.627999999997</v>
      </c>
    </row>
    <row r="254" spans="1:16" x14ac:dyDescent="0.25">
      <c r="A254" s="4">
        <v>2022</v>
      </c>
      <c r="B254" s="4">
        <v>5</v>
      </c>
      <c r="C254" s="12" t="s">
        <v>30</v>
      </c>
      <c r="D254" s="4" t="s">
        <v>13</v>
      </c>
      <c r="E254" s="4" t="s">
        <v>18</v>
      </c>
      <c r="F254" s="4" t="s">
        <v>25</v>
      </c>
      <c r="G254" s="5">
        <v>88051</v>
      </c>
      <c r="H254" s="5">
        <v>175549</v>
      </c>
      <c r="I254" s="4">
        <v>48</v>
      </c>
      <c r="J254" s="4">
        <v>0.97</v>
      </c>
      <c r="K254" s="4">
        <v>6.29</v>
      </c>
      <c r="L254" s="4">
        <v>1.2</v>
      </c>
      <c r="M254" s="4">
        <v>8</v>
      </c>
      <c r="N254" s="4">
        <v>209</v>
      </c>
      <c r="O254" s="4" t="str">
        <f t="shared" si="6"/>
        <v>EMI</v>
      </c>
      <c r="P254" s="5">
        <f t="shared" si="7"/>
        <v>89107.611999999994</v>
      </c>
    </row>
    <row r="255" spans="1:16" x14ac:dyDescent="0.25">
      <c r="A255" s="4">
        <v>2018</v>
      </c>
      <c r="B255" s="4">
        <v>12</v>
      </c>
      <c r="C255" s="12" t="s">
        <v>35</v>
      </c>
      <c r="D255" s="4" t="s">
        <v>32</v>
      </c>
      <c r="E255" s="4" t="s">
        <v>17</v>
      </c>
      <c r="F255" s="4" t="s">
        <v>18</v>
      </c>
      <c r="G255" s="5">
        <v>107013</v>
      </c>
      <c r="H255" s="5">
        <v>483917</v>
      </c>
      <c r="I255" s="4">
        <v>268</v>
      </c>
      <c r="J255" s="4">
        <v>0.97</v>
      </c>
      <c r="K255" s="4">
        <v>6.29</v>
      </c>
      <c r="L255" s="4">
        <v>1.2</v>
      </c>
      <c r="M255" s="4">
        <v>6</v>
      </c>
      <c r="N255" s="4">
        <v>840</v>
      </c>
      <c r="O255" s="4" t="str">
        <f t="shared" si="6"/>
        <v>EMI</v>
      </c>
      <c r="P255" s="5">
        <f t="shared" si="7"/>
        <v>108297.156</v>
      </c>
    </row>
    <row r="256" spans="1:16" x14ac:dyDescent="0.25">
      <c r="A256" s="4">
        <v>2017</v>
      </c>
      <c r="B256" s="4">
        <v>10</v>
      </c>
      <c r="C256" s="12" t="s">
        <v>26</v>
      </c>
      <c r="D256" s="4" t="s">
        <v>32</v>
      </c>
      <c r="E256" s="4" t="s">
        <v>17</v>
      </c>
      <c r="F256" s="4" t="s">
        <v>15</v>
      </c>
      <c r="G256" s="5">
        <v>91652</v>
      </c>
      <c r="H256" s="5">
        <v>494503</v>
      </c>
      <c r="I256" s="4">
        <v>213</v>
      </c>
      <c r="J256" s="4">
        <v>0.97</v>
      </c>
      <c r="K256" s="4">
        <v>6.29</v>
      </c>
      <c r="L256" s="4">
        <v>1.2</v>
      </c>
      <c r="M256" s="4">
        <v>6</v>
      </c>
      <c r="N256" s="4">
        <v>725</v>
      </c>
      <c r="O256" s="4" t="str">
        <f t="shared" si="6"/>
        <v>EMI</v>
      </c>
      <c r="P256" s="5">
        <f t="shared" si="7"/>
        <v>92751.824000000008</v>
      </c>
    </row>
    <row r="257" spans="1:16" x14ac:dyDescent="0.25">
      <c r="A257" s="4">
        <v>2023</v>
      </c>
      <c r="B257" s="4">
        <v>2</v>
      </c>
      <c r="C257" s="12" t="s">
        <v>34</v>
      </c>
      <c r="D257" s="4" t="s">
        <v>22</v>
      </c>
      <c r="E257" s="4" t="s">
        <v>17</v>
      </c>
      <c r="F257" s="4" t="s">
        <v>21</v>
      </c>
      <c r="G257" s="5">
        <v>100524</v>
      </c>
      <c r="H257" s="5">
        <v>187799</v>
      </c>
      <c r="I257" s="4">
        <v>16</v>
      </c>
      <c r="J257" s="4">
        <v>0.97</v>
      </c>
      <c r="K257" s="4">
        <v>6.29</v>
      </c>
      <c r="L257" s="4">
        <v>1.2</v>
      </c>
      <c r="M257" s="4">
        <v>5</v>
      </c>
      <c r="N257" s="4">
        <v>344</v>
      </c>
      <c r="O257" s="4" t="str">
        <f t="shared" si="6"/>
        <v>EMI</v>
      </c>
      <c r="P257" s="5">
        <f t="shared" si="7"/>
        <v>101730.288</v>
      </c>
    </row>
    <row r="258" spans="1:16" x14ac:dyDescent="0.25">
      <c r="A258" s="4">
        <v>2017</v>
      </c>
      <c r="B258" s="4">
        <v>12</v>
      </c>
      <c r="C258" s="12" t="s">
        <v>26</v>
      </c>
      <c r="D258" s="4" t="s">
        <v>29</v>
      </c>
      <c r="E258" s="4" t="s">
        <v>18</v>
      </c>
      <c r="F258" s="4" t="s">
        <v>15</v>
      </c>
      <c r="G258" s="5">
        <v>117936</v>
      </c>
      <c r="H258" s="5">
        <v>291532</v>
      </c>
      <c r="I258" s="4">
        <v>58</v>
      </c>
      <c r="J258" s="4">
        <v>0.97</v>
      </c>
      <c r="K258" s="4">
        <v>6.29</v>
      </c>
      <c r="L258" s="4">
        <v>1.2</v>
      </c>
      <c r="M258" s="4">
        <v>9</v>
      </c>
      <c r="N258" s="4">
        <v>441</v>
      </c>
      <c r="O258" s="4" t="str">
        <f t="shared" ref="O258:O321" si="8">IF(M258&gt;2,"EMI",IF(H258&gt;300000,"Discount","Full"))</f>
        <v>EMI</v>
      </c>
      <c r="P258" s="5">
        <f t="shared" ref="P258:P321" si="9">IF(O258="EMI", G258*(1+L258/100), IF(O258="Full", G258, G258*0.9))</f>
        <v>119351.232</v>
      </c>
    </row>
    <row r="259" spans="1:16" x14ac:dyDescent="0.25">
      <c r="A259" s="4">
        <v>2023</v>
      </c>
      <c r="B259" s="4">
        <v>6</v>
      </c>
      <c r="C259" s="12" t="s">
        <v>19</v>
      </c>
      <c r="D259" s="4" t="s">
        <v>20</v>
      </c>
      <c r="E259" s="4" t="s">
        <v>14</v>
      </c>
      <c r="F259" s="4" t="s">
        <v>15</v>
      </c>
      <c r="G259" s="5">
        <v>41470</v>
      </c>
      <c r="H259" s="5">
        <v>231789</v>
      </c>
      <c r="I259" s="4">
        <v>35</v>
      </c>
      <c r="J259" s="4">
        <v>0.97</v>
      </c>
      <c r="K259" s="4">
        <v>6.29</v>
      </c>
      <c r="L259" s="4">
        <v>1.2</v>
      </c>
      <c r="M259" s="4">
        <v>4</v>
      </c>
      <c r="N259" s="4">
        <v>281</v>
      </c>
      <c r="O259" s="4" t="str">
        <f t="shared" si="8"/>
        <v>EMI</v>
      </c>
      <c r="P259" s="5">
        <f t="shared" si="9"/>
        <v>41967.64</v>
      </c>
    </row>
    <row r="260" spans="1:16" x14ac:dyDescent="0.25">
      <c r="A260" s="4">
        <v>2016</v>
      </c>
      <c r="B260" s="4">
        <v>11</v>
      </c>
      <c r="C260" s="12" t="s">
        <v>36</v>
      </c>
      <c r="D260" s="4" t="s">
        <v>24</v>
      </c>
      <c r="E260" s="4" t="s">
        <v>17</v>
      </c>
      <c r="F260" s="4" t="s">
        <v>15</v>
      </c>
      <c r="G260" s="5">
        <v>102598</v>
      </c>
      <c r="H260" s="5">
        <v>475643</v>
      </c>
      <c r="I260" s="4">
        <v>170</v>
      </c>
      <c r="J260" s="4">
        <v>0.97</v>
      </c>
      <c r="K260" s="4">
        <v>6.29</v>
      </c>
      <c r="L260" s="4">
        <v>1.2</v>
      </c>
      <c r="M260" s="4">
        <v>10</v>
      </c>
      <c r="N260" s="4">
        <v>625</v>
      </c>
      <c r="O260" s="4" t="str">
        <f t="shared" si="8"/>
        <v>EMI</v>
      </c>
      <c r="P260" s="5">
        <f t="shared" si="9"/>
        <v>103829.17600000001</v>
      </c>
    </row>
    <row r="261" spans="1:16" x14ac:dyDescent="0.25">
      <c r="A261" s="4">
        <v>2016</v>
      </c>
      <c r="B261" s="4">
        <v>1</v>
      </c>
      <c r="C261" s="12" t="s">
        <v>34</v>
      </c>
      <c r="D261" s="4" t="s">
        <v>32</v>
      </c>
      <c r="E261" s="4" t="s">
        <v>17</v>
      </c>
      <c r="F261" s="4" t="s">
        <v>21</v>
      </c>
      <c r="G261" s="5">
        <v>76798</v>
      </c>
      <c r="H261" s="5">
        <v>197764</v>
      </c>
      <c r="I261" s="4">
        <v>366</v>
      </c>
      <c r="J261" s="4">
        <v>0.97</v>
      </c>
      <c r="K261" s="4">
        <v>6.29</v>
      </c>
      <c r="L261" s="4">
        <v>1.2</v>
      </c>
      <c r="M261" s="4">
        <v>7</v>
      </c>
      <c r="N261" s="4">
        <v>1104</v>
      </c>
      <c r="O261" s="4" t="str">
        <f t="shared" si="8"/>
        <v>EMI</v>
      </c>
      <c r="P261" s="5">
        <f t="shared" si="9"/>
        <v>77719.576000000001</v>
      </c>
    </row>
    <row r="262" spans="1:16" x14ac:dyDescent="0.25">
      <c r="A262" s="4">
        <v>2016</v>
      </c>
      <c r="B262" s="4">
        <v>3</v>
      </c>
      <c r="C262" s="12" t="s">
        <v>34</v>
      </c>
      <c r="D262" s="4" t="s">
        <v>27</v>
      </c>
      <c r="E262" s="4" t="s">
        <v>18</v>
      </c>
      <c r="F262" s="4" t="s">
        <v>25</v>
      </c>
      <c r="G262" s="5">
        <v>88473</v>
      </c>
      <c r="H262" s="5">
        <v>81625</v>
      </c>
      <c r="I262" s="4">
        <v>185</v>
      </c>
      <c r="J262" s="4">
        <v>0.97</v>
      </c>
      <c r="K262" s="4">
        <v>6.29</v>
      </c>
      <c r="L262" s="4">
        <v>1.2</v>
      </c>
      <c r="M262" s="4">
        <v>1</v>
      </c>
      <c r="N262" s="4">
        <v>540</v>
      </c>
      <c r="O262" s="4" t="str">
        <f t="shared" si="8"/>
        <v>Full</v>
      </c>
      <c r="P262" s="5">
        <f t="shared" si="9"/>
        <v>88473</v>
      </c>
    </row>
    <row r="263" spans="1:16" x14ac:dyDescent="0.25">
      <c r="A263" s="4">
        <v>2020</v>
      </c>
      <c r="B263" s="4">
        <v>5</v>
      </c>
      <c r="C263" s="12" t="s">
        <v>23</v>
      </c>
      <c r="D263" s="4" t="s">
        <v>31</v>
      </c>
      <c r="E263" s="4" t="s">
        <v>14</v>
      </c>
      <c r="F263" s="4" t="s">
        <v>25</v>
      </c>
      <c r="G263" s="5">
        <v>54880</v>
      </c>
      <c r="H263" s="5">
        <v>337062</v>
      </c>
      <c r="I263" s="4">
        <v>88</v>
      </c>
      <c r="J263" s="4">
        <v>0.97</v>
      </c>
      <c r="K263" s="4">
        <v>6.29</v>
      </c>
      <c r="L263" s="4">
        <v>1.2</v>
      </c>
      <c r="M263" s="4">
        <v>9</v>
      </c>
      <c r="N263" s="4">
        <v>457</v>
      </c>
      <c r="O263" s="4" t="str">
        <f t="shared" si="8"/>
        <v>EMI</v>
      </c>
      <c r="P263" s="5">
        <f t="shared" si="9"/>
        <v>55538.559999999998</v>
      </c>
    </row>
    <row r="264" spans="1:16" x14ac:dyDescent="0.25">
      <c r="A264" s="4">
        <v>2017</v>
      </c>
      <c r="B264" s="4">
        <v>4</v>
      </c>
      <c r="C264" s="12" t="s">
        <v>30</v>
      </c>
      <c r="D264" s="4" t="s">
        <v>31</v>
      </c>
      <c r="E264" s="4" t="s">
        <v>18</v>
      </c>
      <c r="F264" s="4" t="s">
        <v>25</v>
      </c>
      <c r="G264" s="5">
        <v>79439</v>
      </c>
      <c r="H264" s="5">
        <v>484352</v>
      </c>
      <c r="I264" s="4">
        <v>11</v>
      </c>
      <c r="J264" s="4">
        <v>0.97</v>
      </c>
      <c r="K264" s="4">
        <v>6.29</v>
      </c>
      <c r="L264" s="4">
        <v>1.2</v>
      </c>
      <c r="M264" s="4">
        <v>7</v>
      </c>
      <c r="N264" s="4">
        <v>420</v>
      </c>
      <c r="O264" s="4" t="str">
        <f t="shared" si="8"/>
        <v>EMI</v>
      </c>
      <c r="P264" s="5">
        <f t="shared" si="9"/>
        <v>80392.267999999996</v>
      </c>
    </row>
    <row r="265" spans="1:16" x14ac:dyDescent="0.25">
      <c r="A265" s="4">
        <v>2023</v>
      </c>
      <c r="B265" s="4">
        <v>3</v>
      </c>
      <c r="C265" s="12" t="s">
        <v>34</v>
      </c>
      <c r="D265" s="4" t="s">
        <v>37</v>
      </c>
      <c r="E265" s="4" t="s">
        <v>17</v>
      </c>
      <c r="F265" s="4" t="s">
        <v>15</v>
      </c>
      <c r="G265" s="5">
        <v>49308</v>
      </c>
      <c r="H265" s="5">
        <v>426970</v>
      </c>
      <c r="I265" s="4">
        <v>392</v>
      </c>
      <c r="J265" s="4">
        <v>0.97</v>
      </c>
      <c r="K265" s="4">
        <v>6.29</v>
      </c>
      <c r="L265" s="4">
        <v>1.2</v>
      </c>
      <c r="M265" s="4">
        <v>10</v>
      </c>
      <c r="N265" s="4">
        <v>897</v>
      </c>
      <c r="O265" s="4" t="str">
        <f t="shared" si="8"/>
        <v>EMI</v>
      </c>
      <c r="P265" s="5">
        <f t="shared" si="9"/>
        <v>49899.696000000004</v>
      </c>
    </row>
    <row r="266" spans="1:16" x14ac:dyDescent="0.25">
      <c r="A266" s="4">
        <v>2018</v>
      </c>
      <c r="B266" s="4">
        <v>10</v>
      </c>
      <c r="C266" s="12" t="s">
        <v>23</v>
      </c>
      <c r="D266" s="4" t="s">
        <v>20</v>
      </c>
      <c r="E266" s="4" t="s">
        <v>14</v>
      </c>
      <c r="F266" s="4" t="s">
        <v>21</v>
      </c>
      <c r="G266" s="5">
        <v>70081</v>
      </c>
      <c r="H266" s="5">
        <v>164881</v>
      </c>
      <c r="I266" s="4">
        <v>141</v>
      </c>
      <c r="J266" s="4">
        <v>0.97</v>
      </c>
      <c r="K266" s="4">
        <v>6.29</v>
      </c>
      <c r="L266" s="4">
        <v>1.2</v>
      </c>
      <c r="M266" s="4">
        <v>9</v>
      </c>
      <c r="N266" s="4">
        <v>529</v>
      </c>
      <c r="O266" s="4" t="str">
        <f t="shared" si="8"/>
        <v>EMI</v>
      </c>
      <c r="P266" s="5">
        <f t="shared" si="9"/>
        <v>70921.971999999994</v>
      </c>
    </row>
    <row r="267" spans="1:16" x14ac:dyDescent="0.25">
      <c r="A267" s="4">
        <v>2015</v>
      </c>
      <c r="B267" s="4">
        <v>5</v>
      </c>
      <c r="C267" s="12" t="s">
        <v>23</v>
      </c>
      <c r="D267" s="4" t="s">
        <v>31</v>
      </c>
      <c r="E267" s="4" t="s">
        <v>14</v>
      </c>
      <c r="F267" s="4" t="s">
        <v>15</v>
      </c>
      <c r="G267" s="5">
        <v>110242</v>
      </c>
      <c r="H267" s="5">
        <v>495625</v>
      </c>
      <c r="I267" s="4">
        <v>285</v>
      </c>
      <c r="J267" s="4">
        <v>0.97</v>
      </c>
      <c r="K267" s="4">
        <v>6.29</v>
      </c>
      <c r="L267" s="4">
        <v>1.2</v>
      </c>
      <c r="M267" s="4">
        <v>7</v>
      </c>
      <c r="N267" s="4">
        <v>943</v>
      </c>
      <c r="O267" s="4" t="str">
        <f t="shared" si="8"/>
        <v>EMI</v>
      </c>
      <c r="P267" s="5">
        <f t="shared" si="9"/>
        <v>111564.90399999999</v>
      </c>
    </row>
    <row r="268" spans="1:16" x14ac:dyDescent="0.25">
      <c r="A268" s="4">
        <v>2018</v>
      </c>
      <c r="B268" s="4">
        <v>11</v>
      </c>
      <c r="C268" s="12" t="s">
        <v>19</v>
      </c>
      <c r="D268" s="4" t="s">
        <v>37</v>
      </c>
      <c r="E268" s="4" t="s">
        <v>17</v>
      </c>
      <c r="F268" s="4" t="s">
        <v>25</v>
      </c>
      <c r="G268" s="5">
        <v>85383</v>
      </c>
      <c r="H268" s="5">
        <v>327721</v>
      </c>
      <c r="I268" s="4">
        <v>126</v>
      </c>
      <c r="J268" s="4">
        <v>0.97</v>
      </c>
      <c r="K268" s="4">
        <v>6.29</v>
      </c>
      <c r="L268" s="4">
        <v>1.2</v>
      </c>
      <c r="M268" s="4">
        <v>2</v>
      </c>
      <c r="N268" s="4">
        <v>634</v>
      </c>
      <c r="O268" s="4" t="str">
        <f t="shared" si="8"/>
        <v>Discount</v>
      </c>
      <c r="P268" s="5">
        <f t="shared" si="9"/>
        <v>76844.7</v>
      </c>
    </row>
    <row r="269" spans="1:16" x14ac:dyDescent="0.25">
      <c r="A269" s="4">
        <v>2015</v>
      </c>
      <c r="B269" s="4">
        <v>8</v>
      </c>
      <c r="C269" s="12" t="s">
        <v>28</v>
      </c>
      <c r="D269" s="4" t="s">
        <v>29</v>
      </c>
      <c r="E269" s="4" t="s">
        <v>14</v>
      </c>
      <c r="F269" s="4" t="s">
        <v>25</v>
      </c>
      <c r="G269" s="5">
        <v>44837</v>
      </c>
      <c r="H269" s="5">
        <v>397299</v>
      </c>
      <c r="I269" s="4">
        <v>173</v>
      </c>
      <c r="J269" s="4">
        <v>0.97</v>
      </c>
      <c r="K269" s="4">
        <v>6.29</v>
      </c>
      <c r="L269" s="4">
        <v>1.2</v>
      </c>
      <c r="M269" s="4">
        <v>6</v>
      </c>
      <c r="N269" s="4">
        <v>670</v>
      </c>
      <c r="O269" s="4" t="str">
        <f t="shared" si="8"/>
        <v>EMI</v>
      </c>
      <c r="P269" s="5">
        <f t="shared" si="9"/>
        <v>45375.044000000002</v>
      </c>
    </row>
    <row r="270" spans="1:16" x14ac:dyDescent="0.25">
      <c r="A270" s="4">
        <v>2019</v>
      </c>
      <c r="B270" s="4">
        <v>11</v>
      </c>
      <c r="C270" s="12" t="s">
        <v>26</v>
      </c>
      <c r="D270" s="4" t="s">
        <v>32</v>
      </c>
      <c r="E270" s="4" t="s">
        <v>14</v>
      </c>
      <c r="F270" s="4" t="s">
        <v>21</v>
      </c>
      <c r="G270" s="5">
        <v>87151</v>
      </c>
      <c r="H270" s="5">
        <v>161776</v>
      </c>
      <c r="I270" s="4">
        <v>297</v>
      </c>
      <c r="J270" s="4">
        <v>0.97</v>
      </c>
      <c r="K270" s="4">
        <v>6.29</v>
      </c>
      <c r="L270" s="4">
        <v>1.2</v>
      </c>
      <c r="M270" s="4">
        <v>10</v>
      </c>
      <c r="N270" s="4">
        <v>1001</v>
      </c>
      <c r="O270" s="4" t="str">
        <f t="shared" si="8"/>
        <v>EMI</v>
      </c>
      <c r="P270" s="5">
        <f t="shared" si="9"/>
        <v>88196.812000000005</v>
      </c>
    </row>
    <row r="271" spans="1:16" x14ac:dyDescent="0.25">
      <c r="A271" s="4">
        <v>2018</v>
      </c>
      <c r="B271" s="4">
        <v>4</v>
      </c>
      <c r="C271" s="12" t="s">
        <v>36</v>
      </c>
      <c r="D271" s="4" t="s">
        <v>32</v>
      </c>
      <c r="E271" s="4" t="s">
        <v>18</v>
      </c>
      <c r="F271" s="4" t="s">
        <v>15</v>
      </c>
      <c r="G271" s="5">
        <v>71824</v>
      </c>
      <c r="H271" s="5">
        <v>411390</v>
      </c>
      <c r="I271" s="4">
        <v>37</v>
      </c>
      <c r="J271" s="4">
        <v>0.97</v>
      </c>
      <c r="K271" s="4">
        <v>6.29</v>
      </c>
      <c r="L271" s="4">
        <v>1.2</v>
      </c>
      <c r="M271" s="4">
        <v>4</v>
      </c>
      <c r="N271" s="4">
        <v>191</v>
      </c>
      <c r="O271" s="4" t="str">
        <f t="shared" si="8"/>
        <v>EMI</v>
      </c>
      <c r="P271" s="5">
        <f t="shared" si="9"/>
        <v>72685.888000000006</v>
      </c>
    </row>
    <row r="272" spans="1:16" x14ac:dyDescent="0.25">
      <c r="A272" s="4">
        <v>2022</v>
      </c>
      <c r="B272" s="4">
        <v>1</v>
      </c>
      <c r="C272" s="12" t="s">
        <v>33</v>
      </c>
      <c r="D272" s="4" t="s">
        <v>27</v>
      </c>
      <c r="E272" s="4" t="s">
        <v>17</v>
      </c>
      <c r="F272" s="4" t="s">
        <v>18</v>
      </c>
      <c r="G272" s="5">
        <v>68073</v>
      </c>
      <c r="H272" s="5">
        <v>283996</v>
      </c>
      <c r="I272" s="4">
        <v>342</v>
      </c>
      <c r="J272" s="4">
        <v>0.97</v>
      </c>
      <c r="K272" s="4">
        <v>6.29</v>
      </c>
      <c r="L272" s="4">
        <v>1.2</v>
      </c>
      <c r="M272" s="4">
        <v>3</v>
      </c>
      <c r="N272" s="4">
        <v>937</v>
      </c>
      <c r="O272" s="4" t="str">
        <f t="shared" si="8"/>
        <v>EMI</v>
      </c>
      <c r="P272" s="5">
        <f t="shared" si="9"/>
        <v>68889.876000000004</v>
      </c>
    </row>
    <row r="273" spans="1:16" x14ac:dyDescent="0.25">
      <c r="A273" s="4">
        <v>2022</v>
      </c>
      <c r="B273" s="4">
        <v>11</v>
      </c>
      <c r="C273" s="12" t="s">
        <v>26</v>
      </c>
      <c r="D273" s="4" t="s">
        <v>13</v>
      </c>
      <c r="E273" s="4" t="s">
        <v>17</v>
      </c>
      <c r="F273" s="4" t="s">
        <v>18</v>
      </c>
      <c r="G273" s="5">
        <v>61299</v>
      </c>
      <c r="H273" s="5">
        <v>307831</v>
      </c>
      <c r="I273" s="4">
        <v>10</v>
      </c>
      <c r="J273" s="4">
        <v>0.97</v>
      </c>
      <c r="K273" s="4">
        <v>6.29</v>
      </c>
      <c r="L273" s="4">
        <v>1.2</v>
      </c>
      <c r="M273" s="4">
        <v>2</v>
      </c>
      <c r="N273" s="4">
        <v>471</v>
      </c>
      <c r="O273" s="4" t="str">
        <f t="shared" si="8"/>
        <v>Discount</v>
      </c>
      <c r="P273" s="5">
        <f t="shared" si="9"/>
        <v>55169.1</v>
      </c>
    </row>
    <row r="274" spans="1:16" x14ac:dyDescent="0.25">
      <c r="A274" s="4">
        <v>2021</v>
      </c>
      <c r="B274" s="4">
        <v>7</v>
      </c>
      <c r="C274" s="12" t="s">
        <v>34</v>
      </c>
      <c r="D274" s="4" t="s">
        <v>31</v>
      </c>
      <c r="E274" s="4" t="s">
        <v>17</v>
      </c>
      <c r="F274" s="4" t="s">
        <v>25</v>
      </c>
      <c r="G274" s="5">
        <v>93861</v>
      </c>
      <c r="H274" s="5">
        <v>262803</v>
      </c>
      <c r="I274" s="4">
        <v>197</v>
      </c>
      <c r="J274" s="4">
        <v>0.97</v>
      </c>
      <c r="K274" s="4">
        <v>6.29</v>
      </c>
      <c r="L274" s="4">
        <v>1.2</v>
      </c>
      <c r="M274" s="4">
        <v>6</v>
      </c>
      <c r="N274" s="4">
        <v>615</v>
      </c>
      <c r="O274" s="4" t="str">
        <f t="shared" si="8"/>
        <v>EMI</v>
      </c>
      <c r="P274" s="5">
        <f t="shared" si="9"/>
        <v>94987.331999999995</v>
      </c>
    </row>
    <row r="275" spans="1:16" x14ac:dyDescent="0.25">
      <c r="A275" s="4">
        <v>2017</v>
      </c>
      <c r="B275" s="4">
        <v>8</v>
      </c>
      <c r="C275" s="12" t="s">
        <v>36</v>
      </c>
      <c r="D275" s="4" t="s">
        <v>29</v>
      </c>
      <c r="E275" s="4" t="s">
        <v>17</v>
      </c>
      <c r="F275" s="4" t="s">
        <v>21</v>
      </c>
      <c r="G275" s="5">
        <v>65063</v>
      </c>
      <c r="H275" s="5">
        <v>208761</v>
      </c>
      <c r="I275" s="4">
        <v>65</v>
      </c>
      <c r="J275" s="4">
        <v>0.97</v>
      </c>
      <c r="K275" s="4">
        <v>6.29</v>
      </c>
      <c r="L275" s="4">
        <v>1.2</v>
      </c>
      <c r="M275" s="4">
        <v>8</v>
      </c>
      <c r="N275" s="4">
        <v>245</v>
      </c>
      <c r="O275" s="4" t="str">
        <f t="shared" si="8"/>
        <v>EMI</v>
      </c>
      <c r="P275" s="5">
        <f t="shared" si="9"/>
        <v>65843.755999999994</v>
      </c>
    </row>
    <row r="276" spans="1:16" x14ac:dyDescent="0.25">
      <c r="A276" s="4">
        <v>2015</v>
      </c>
      <c r="B276" s="4">
        <v>3</v>
      </c>
      <c r="C276" s="12" t="s">
        <v>35</v>
      </c>
      <c r="D276" s="4" t="s">
        <v>16</v>
      </c>
      <c r="E276" s="4" t="s">
        <v>17</v>
      </c>
      <c r="F276" s="4" t="s">
        <v>15</v>
      </c>
      <c r="G276" s="5">
        <v>104453</v>
      </c>
      <c r="H276" s="5">
        <v>192226</v>
      </c>
      <c r="I276" s="4">
        <v>44</v>
      </c>
      <c r="J276" s="4">
        <v>0.97</v>
      </c>
      <c r="K276" s="4">
        <v>6.29</v>
      </c>
      <c r="L276" s="4">
        <v>1.2</v>
      </c>
      <c r="M276" s="4">
        <v>6</v>
      </c>
      <c r="N276" s="4">
        <v>265</v>
      </c>
      <c r="O276" s="4" t="str">
        <f t="shared" si="8"/>
        <v>EMI</v>
      </c>
      <c r="P276" s="5">
        <f t="shared" si="9"/>
        <v>105706.436</v>
      </c>
    </row>
    <row r="277" spans="1:16" x14ac:dyDescent="0.25">
      <c r="A277" s="4">
        <v>2015</v>
      </c>
      <c r="B277" s="4">
        <v>6</v>
      </c>
      <c r="C277" s="12" t="s">
        <v>28</v>
      </c>
      <c r="D277" s="4" t="s">
        <v>31</v>
      </c>
      <c r="E277" s="4" t="s">
        <v>14</v>
      </c>
      <c r="F277" s="4" t="s">
        <v>15</v>
      </c>
      <c r="G277" s="5">
        <v>103472</v>
      </c>
      <c r="H277" s="5">
        <v>407092</v>
      </c>
      <c r="I277" s="4">
        <v>121</v>
      </c>
      <c r="J277" s="4">
        <v>0.97</v>
      </c>
      <c r="K277" s="4">
        <v>6.29</v>
      </c>
      <c r="L277" s="4">
        <v>1.2</v>
      </c>
      <c r="M277" s="4">
        <v>9</v>
      </c>
      <c r="N277" s="4">
        <v>313</v>
      </c>
      <c r="O277" s="4" t="str">
        <f t="shared" si="8"/>
        <v>EMI</v>
      </c>
      <c r="P277" s="5">
        <f t="shared" si="9"/>
        <v>104713.664</v>
      </c>
    </row>
    <row r="278" spans="1:16" x14ac:dyDescent="0.25">
      <c r="A278" s="4">
        <v>2017</v>
      </c>
      <c r="B278" s="4">
        <v>2</v>
      </c>
      <c r="C278" s="12" t="s">
        <v>35</v>
      </c>
      <c r="D278" s="4" t="s">
        <v>20</v>
      </c>
      <c r="E278" s="4" t="s">
        <v>18</v>
      </c>
      <c r="F278" s="4" t="s">
        <v>25</v>
      </c>
      <c r="G278" s="5">
        <v>49506</v>
      </c>
      <c r="H278" s="5">
        <v>71341</v>
      </c>
      <c r="I278" s="4">
        <v>295</v>
      </c>
      <c r="J278" s="4">
        <v>0.97</v>
      </c>
      <c r="K278" s="4">
        <v>6.29</v>
      </c>
      <c r="L278" s="4">
        <v>1.2</v>
      </c>
      <c r="M278" s="4">
        <v>5</v>
      </c>
      <c r="N278" s="4">
        <v>674</v>
      </c>
      <c r="O278" s="4" t="str">
        <f t="shared" si="8"/>
        <v>EMI</v>
      </c>
      <c r="P278" s="5">
        <f t="shared" si="9"/>
        <v>50100.072</v>
      </c>
    </row>
    <row r="279" spans="1:16" x14ac:dyDescent="0.25">
      <c r="A279" s="4">
        <v>2020</v>
      </c>
      <c r="B279" s="4">
        <v>7</v>
      </c>
      <c r="C279" s="12" t="s">
        <v>35</v>
      </c>
      <c r="D279" s="4" t="s">
        <v>13</v>
      </c>
      <c r="E279" s="4" t="s">
        <v>17</v>
      </c>
      <c r="F279" s="4" t="s">
        <v>25</v>
      </c>
      <c r="G279" s="5">
        <v>114854</v>
      </c>
      <c r="H279" s="5">
        <v>409698</v>
      </c>
      <c r="I279" s="4">
        <v>319</v>
      </c>
      <c r="J279" s="4">
        <v>0.97</v>
      </c>
      <c r="K279" s="4">
        <v>6.29</v>
      </c>
      <c r="L279" s="4">
        <v>1.2</v>
      </c>
      <c r="M279" s="4">
        <v>2</v>
      </c>
      <c r="N279" s="4">
        <v>807</v>
      </c>
      <c r="O279" s="4" t="str">
        <f t="shared" si="8"/>
        <v>Discount</v>
      </c>
      <c r="P279" s="5">
        <f t="shared" si="9"/>
        <v>103368.6</v>
      </c>
    </row>
    <row r="280" spans="1:16" x14ac:dyDescent="0.25">
      <c r="A280" s="4">
        <v>2021</v>
      </c>
      <c r="B280" s="4">
        <v>8</v>
      </c>
      <c r="C280" s="12" t="s">
        <v>30</v>
      </c>
      <c r="D280" s="4" t="s">
        <v>31</v>
      </c>
      <c r="E280" s="4" t="s">
        <v>18</v>
      </c>
      <c r="F280" s="4" t="s">
        <v>15</v>
      </c>
      <c r="G280" s="5">
        <v>61026</v>
      </c>
      <c r="H280" s="5">
        <v>255753</v>
      </c>
      <c r="I280" s="4">
        <v>45</v>
      </c>
      <c r="J280" s="4">
        <v>0.97</v>
      </c>
      <c r="K280" s="4">
        <v>6.29</v>
      </c>
      <c r="L280" s="4">
        <v>1.2</v>
      </c>
      <c r="M280" s="4">
        <v>8</v>
      </c>
      <c r="N280" s="4">
        <v>201</v>
      </c>
      <c r="O280" s="4" t="str">
        <f t="shared" si="8"/>
        <v>EMI</v>
      </c>
      <c r="P280" s="5">
        <f t="shared" si="9"/>
        <v>61758.311999999998</v>
      </c>
    </row>
    <row r="281" spans="1:16" x14ac:dyDescent="0.25">
      <c r="A281" s="4">
        <v>2020</v>
      </c>
      <c r="B281" s="4">
        <v>6</v>
      </c>
      <c r="C281" s="12" t="s">
        <v>26</v>
      </c>
      <c r="D281" s="4" t="s">
        <v>29</v>
      </c>
      <c r="E281" s="4" t="s">
        <v>18</v>
      </c>
      <c r="F281" s="4" t="s">
        <v>15</v>
      </c>
      <c r="G281" s="5">
        <v>62672</v>
      </c>
      <c r="H281" s="5">
        <v>419942</v>
      </c>
      <c r="I281" s="4">
        <v>226</v>
      </c>
      <c r="J281" s="4">
        <v>0.97</v>
      </c>
      <c r="K281" s="4">
        <v>6.29</v>
      </c>
      <c r="L281" s="4">
        <v>1.2</v>
      </c>
      <c r="M281" s="4">
        <v>9</v>
      </c>
      <c r="N281" s="4">
        <v>848</v>
      </c>
      <c r="O281" s="4" t="str">
        <f t="shared" si="8"/>
        <v>EMI</v>
      </c>
      <c r="P281" s="5">
        <f t="shared" si="9"/>
        <v>63424.063999999998</v>
      </c>
    </row>
    <row r="282" spans="1:16" x14ac:dyDescent="0.25">
      <c r="A282" s="4">
        <v>2020</v>
      </c>
      <c r="B282" s="4">
        <v>6</v>
      </c>
      <c r="C282" s="12" t="s">
        <v>33</v>
      </c>
      <c r="D282" s="4" t="s">
        <v>31</v>
      </c>
      <c r="E282" s="4" t="s">
        <v>14</v>
      </c>
      <c r="F282" s="4" t="s">
        <v>25</v>
      </c>
      <c r="G282" s="5">
        <v>73417</v>
      </c>
      <c r="H282" s="5">
        <v>358474</v>
      </c>
      <c r="I282" s="4">
        <v>89</v>
      </c>
      <c r="J282" s="4">
        <v>0.97</v>
      </c>
      <c r="K282" s="4">
        <v>6.29</v>
      </c>
      <c r="L282" s="4">
        <v>1.2</v>
      </c>
      <c r="M282" s="4">
        <v>10</v>
      </c>
      <c r="N282" s="4">
        <v>447</v>
      </c>
      <c r="O282" s="4" t="str">
        <f t="shared" si="8"/>
        <v>EMI</v>
      </c>
      <c r="P282" s="5">
        <f t="shared" si="9"/>
        <v>74298.004000000001</v>
      </c>
    </row>
    <row r="283" spans="1:16" x14ac:dyDescent="0.25">
      <c r="A283" s="4">
        <v>2020</v>
      </c>
      <c r="B283" s="4">
        <v>5</v>
      </c>
      <c r="C283" s="12" t="s">
        <v>19</v>
      </c>
      <c r="D283" s="4" t="s">
        <v>20</v>
      </c>
      <c r="E283" s="4" t="s">
        <v>17</v>
      </c>
      <c r="F283" s="4" t="s">
        <v>15</v>
      </c>
      <c r="G283" s="5">
        <v>87413</v>
      </c>
      <c r="H283" s="5">
        <v>299141</v>
      </c>
      <c r="I283" s="4">
        <v>323</v>
      </c>
      <c r="J283" s="4">
        <v>0.97</v>
      </c>
      <c r="K283" s="4">
        <v>6.29</v>
      </c>
      <c r="L283" s="4">
        <v>1.2</v>
      </c>
      <c r="M283" s="4">
        <v>4</v>
      </c>
      <c r="N283" s="4">
        <v>1051</v>
      </c>
      <c r="O283" s="4" t="str">
        <f t="shared" si="8"/>
        <v>EMI</v>
      </c>
      <c r="P283" s="5">
        <f t="shared" si="9"/>
        <v>88461.956000000006</v>
      </c>
    </row>
    <row r="284" spans="1:16" x14ac:dyDescent="0.25">
      <c r="A284" s="4">
        <v>2017</v>
      </c>
      <c r="B284" s="4">
        <v>8</v>
      </c>
      <c r="C284" s="12" t="s">
        <v>33</v>
      </c>
      <c r="D284" s="4" t="s">
        <v>16</v>
      </c>
      <c r="E284" s="4" t="s">
        <v>14</v>
      </c>
      <c r="F284" s="4" t="s">
        <v>18</v>
      </c>
      <c r="G284" s="5">
        <v>100066</v>
      </c>
      <c r="H284" s="5">
        <v>399903</v>
      </c>
      <c r="I284" s="4">
        <v>92</v>
      </c>
      <c r="J284" s="4">
        <v>0.97</v>
      </c>
      <c r="K284" s="4">
        <v>6.29</v>
      </c>
      <c r="L284" s="4">
        <v>1.2</v>
      </c>
      <c r="M284" s="4">
        <v>6</v>
      </c>
      <c r="N284" s="4">
        <v>436</v>
      </c>
      <c r="O284" s="4" t="str">
        <f t="shared" si="8"/>
        <v>EMI</v>
      </c>
      <c r="P284" s="5">
        <f t="shared" si="9"/>
        <v>101266.792</v>
      </c>
    </row>
    <row r="285" spans="1:16" x14ac:dyDescent="0.25">
      <c r="A285" s="4">
        <v>2020</v>
      </c>
      <c r="B285" s="4">
        <v>1</v>
      </c>
      <c r="C285" s="12" t="s">
        <v>35</v>
      </c>
      <c r="D285" s="4" t="s">
        <v>24</v>
      </c>
      <c r="E285" s="4" t="s">
        <v>17</v>
      </c>
      <c r="F285" s="4" t="s">
        <v>25</v>
      </c>
      <c r="G285" s="5">
        <v>94213</v>
      </c>
      <c r="H285" s="5">
        <v>249488</v>
      </c>
      <c r="I285" s="4">
        <v>74</v>
      </c>
      <c r="J285" s="4">
        <v>0.97</v>
      </c>
      <c r="K285" s="4">
        <v>6.29</v>
      </c>
      <c r="L285" s="4">
        <v>1.2</v>
      </c>
      <c r="M285" s="4">
        <v>10</v>
      </c>
      <c r="N285" s="4">
        <v>197</v>
      </c>
      <c r="O285" s="4" t="str">
        <f t="shared" si="8"/>
        <v>EMI</v>
      </c>
      <c r="P285" s="5">
        <f t="shared" si="9"/>
        <v>95343.555999999997</v>
      </c>
    </row>
    <row r="286" spans="1:16" x14ac:dyDescent="0.25">
      <c r="A286" s="4">
        <v>2022</v>
      </c>
      <c r="B286" s="4">
        <v>10</v>
      </c>
      <c r="C286" s="12" t="s">
        <v>34</v>
      </c>
      <c r="D286" s="4" t="s">
        <v>22</v>
      </c>
      <c r="E286" s="4" t="s">
        <v>14</v>
      </c>
      <c r="F286" s="4" t="s">
        <v>15</v>
      </c>
      <c r="G286" s="5">
        <v>85971</v>
      </c>
      <c r="H286" s="5">
        <v>306139</v>
      </c>
      <c r="I286" s="4">
        <v>334</v>
      </c>
      <c r="J286" s="4">
        <v>0.97</v>
      </c>
      <c r="K286" s="4">
        <v>6.29</v>
      </c>
      <c r="L286" s="4">
        <v>1.2</v>
      </c>
      <c r="M286" s="4">
        <v>8</v>
      </c>
      <c r="N286" s="4">
        <v>1021</v>
      </c>
      <c r="O286" s="4" t="str">
        <f t="shared" si="8"/>
        <v>EMI</v>
      </c>
      <c r="P286" s="5">
        <f t="shared" si="9"/>
        <v>87002.652000000002</v>
      </c>
    </row>
    <row r="287" spans="1:16" x14ac:dyDescent="0.25">
      <c r="A287" s="4">
        <v>2016</v>
      </c>
      <c r="B287" s="4">
        <v>4</v>
      </c>
      <c r="C287" s="12" t="s">
        <v>28</v>
      </c>
      <c r="D287" s="4" t="s">
        <v>16</v>
      </c>
      <c r="E287" s="4" t="s">
        <v>18</v>
      </c>
      <c r="F287" s="4" t="s">
        <v>25</v>
      </c>
      <c r="G287" s="5">
        <v>62281</v>
      </c>
      <c r="H287" s="5">
        <v>398951</v>
      </c>
      <c r="I287" s="4">
        <v>137</v>
      </c>
      <c r="J287" s="4">
        <v>0.97</v>
      </c>
      <c r="K287" s="4">
        <v>6.29</v>
      </c>
      <c r="L287" s="4">
        <v>1.2</v>
      </c>
      <c r="M287" s="4">
        <v>9</v>
      </c>
      <c r="N287" s="4">
        <v>640</v>
      </c>
      <c r="O287" s="4" t="str">
        <f t="shared" si="8"/>
        <v>EMI</v>
      </c>
      <c r="P287" s="5">
        <f t="shared" si="9"/>
        <v>63028.372000000003</v>
      </c>
    </row>
    <row r="288" spans="1:16" x14ac:dyDescent="0.25">
      <c r="A288" s="4">
        <v>2019</v>
      </c>
      <c r="B288" s="4">
        <v>4</v>
      </c>
      <c r="C288" s="12" t="s">
        <v>12</v>
      </c>
      <c r="D288" s="4" t="s">
        <v>37</v>
      </c>
      <c r="E288" s="4" t="s">
        <v>17</v>
      </c>
      <c r="F288" s="4" t="s">
        <v>21</v>
      </c>
      <c r="G288" s="5">
        <v>63091</v>
      </c>
      <c r="H288" s="5">
        <v>345457</v>
      </c>
      <c r="I288" s="4">
        <v>316</v>
      </c>
      <c r="J288" s="4">
        <v>0.97</v>
      </c>
      <c r="K288" s="4">
        <v>6.29</v>
      </c>
      <c r="L288" s="4">
        <v>1.2</v>
      </c>
      <c r="M288" s="4">
        <v>5</v>
      </c>
      <c r="N288" s="4">
        <v>1081</v>
      </c>
      <c r="O288" s="4" t="str">
        <f t="shared" si="8"/>
        <v>EMI</v>
      </c>
      <c r="P288" s="5">
        <f t="shared" si="9"/>
        <v>63848.092000000004</v>
      </c>
    </row>
    <row r="289" spans="1:16" x14ac:dyDescent="0.25">
      <c r="A289" s="4">
        <v>2015</v>
      </c>
      <c r="B289" s="4">
        <v>3</v>
      </c>
      <c r="C289" s="12" t="s">
        <v>33</v>
      </c>
      <c r="D289" s="4" t="s">
        <v>31</v>
      </c>
      <c r="E289" s="4" t="s">
        <v>18</v>
      </c>
      <c r="F289" s="4" t="s">
        <v>25</v>
      </c>
      <c r="G289" s="5">
        <v>85494</v>
      </c>
      <c r="H289" s="5">
        <v>359044</v>
      </c>
      <c r="I289" s="4">
        <v>31</v>
      </c>
      <c r="J289" s="4">
        <v>0.97</v>
      </c>
      <c r="K289" s="4">
        <v>6.29</v>
      </c>
      <c r="L289" s="4">
        <v>1.2</v>
      </c>
      <c r="M289" s="4">
        <v>6</v>
      </c>
      <c r="N289" s="4">
        <v>100</v>
      </c>
      <c r="O289" s="4" t="str">
        <f t="shared" si="8"/>
        <v>EMI</v>
      </c>
      <c r="P289" s="5">
        <f t="shared" si="9"/>
        <v>86519.928</v>
      </c>
    </row>
    <row r="290" spans="1:16" x14ac:dyDescent="0.25">
      <c r="A290" s="4">
        <v>2015</v>
      </c>
      <c r="B290" s="4">
        <v>3</v>
      </c>
      <c r="C290" s="12" t="s">
        <v>35</v>
      </c>
      <c r="D290" s="4" t="s">
        <v>32</v>
      </c>
      <c r="E290" s="4" t="s">
        <v>18</v>
      </c>
      <c r="F290" s="4" t="s">
        <v>25</v>
      </c>
      <c r="G290" s="5">
        <v>53610</v>
      </c>
      <c r="H290" s="5">
        <v>128840</v>
      </c>
      <c r="I290" s="4">
        <v>225</v>
      </c>
      <c r="J290" s="4">
        <v>0.97</v>
      </c>
      <c r="K290" s="4">
        <v>6.29</v>
      </c>
      <c r="L290" s="4">
        <v>1.2</v>
      </c>
      <c r="M290" s="4">
        <v>4</v>
      </c>
      <c r="N290" s="4">
        <v>675</v>
      </c>
      <c r="O290" s="4" t="str">
        <f t="shared" si="8"/>
        <v>EMI</v>
      </c>
      <c r="P290" s="5">
        <f t="shared" si="9"/>
        <v>54253.32</v>
      </c>
    </row>
    <row r="291" spans="1:16" x14ac:dyDescent="0.25">
      <c r="A291" s="4">
        <v>2019</v>
      </c>
      <c r="B291" s="4">
        <v>4</v>
      </c>
      <c r="C291" s="12" t="s">
        <v>28</v>
      </c>
      <c r="D291" s="4" t="s">
        <v>27</v>
      </c>
      <c r="E291" s="4" t="s">
        <v>14</v>
      </c>
      <c r="F291" s="4" t="s">
        <v>21</v>
      </c>
      <c r="G291" s="5">
        <v>36079</v>
      </c>
      <c r="H291" s="5">
        <v>215767</v>
      </c>
      <c r="I291" s="4">
        <v>116</v>
      </c>
      <c r="J291" s="4">
        <v>0.97</v>
      </c>
      <c r="K291" s="4">
        <v>6.29</v>
      </c>
      <c r="L291" s="4">
        <v>1.2</v>
      </c>
      <c r="M291" s="4">
        <v>5</v>
      </c>
      <c r="N291" s="4">
        <v>351</v>
      </c>
      <c r="O291" s="4" t="str">
        <f t="shared" si="8"/>
        <v>EMI</v>
      </c>
      <c r="P291" s="5">
        <f t="shared" si="9"/>
        <v>36511.948000000004</v>
      </c>
    </row>
    <row r="292" spans="1:16" x14ac:dyDescent="0.25">
      <c r="A292" s="4">
        <v>2017</v>
      </c>
      <c r="B292" s="4">
        <v>11</v>
      </c>
      <c r="C292" s="12" t="s">
        <v>36</v>
      </c>
      <c r="D292" s="4" t="s">
        <v>32</v>
      </c>
      <c r="E292" s="4" t="s">
        <v>17</v>
      </c>
      <c r="F292" s="4" t="s">
        <v>18</v>
      </c>
      <c r="G292" s="5">
        <v>81751</v>
      </c>
      <c r="H292" s="5">
        <v>211297</v>
      </c>
      <c r="I292" s="4">
        <v>118</v>
      </c>
      <c r="J292" s="4">
        <v>0.97</v>
      </c>
      <c r="K292" s="4">
        <v>6.29</v>
      </c>
      <c r="L292" s="4">
        <v>1.2</v>
      </c>
      <c r="M292" s="4">
        <v>7</v>
      </c>
      <c r="N292" s="4">
        <v>355</v>
      </c>
      <c r="O292" s="4" t="str">
        <f t="shared" si="8"/>
        <v>EMI</v>
      </c>
      <c r="P292" s="5">
        <f t="shared" si="9"/>
        <v>82732.012000000002</v>
      </c>
    </row>
    <row r="293" spans="1:16" x14ac:dyDescent="0.25">
      <c r="A293" s="4">
        <v>2018</v>
      </c>
      <c r="B293" s="4">
        <v>1</v>
      </c>
      <c r="C293" s="12" t="s">
        <v>26</v>
      </c>
      <c r="D293" s="4" t="s">
        <v>16</v>
      </c>
      <c r="E293" s="4" t="s">
        <v>18</v>
      </c>
      <c r="F293" s="4" t="s">
        <v>15</v>
      </c>
      <c r="G293" s="5">
        <v>90432</v>
      </c>
      <c r="H293" s="5">
        <v>398216</v>
      </c>
      <c r="I293" s="4">
        <v>381</v>
      </c>
      <c r="J293" s="4">
        <v>0.97</v>
      </c>
      <c r="K293" s="4">
        <v>6.29</v>
      </c>
      <c r="L293" s="4">
        <v>1.2</v>
      </c>
      <c r="M293" s="4">
        <v>9</v>
      </c>
      <c r="N293" s="4">
        <v>1195</v>
      </c>
      <c r="O293" s="4" t="str">
        <f t="shared" si="8"/>
        <v>EMI</v>
      </c>
      <c r="P293" s="5">
        <f t="shared" si="9"/>
        <v>91517.183999999994</v>
      </c>
    </row>
    <row r="294" spans="1:16" x14ac:dyDescent="0.25">
      <c r="A294" s="4">
        <v>2017</v>
      </c>
      <c r="B294" s="4">
        <v>11</v>
      </c>
      <c r="C294" s="12" t="s">
        <v>23</v>
      </c>
      <c r="D294" s="4" t="s">
        <v>32</v>
      </c>
      <c r="E294" s="4" t="s">
        <v>14</v>
      </c>
      <c r="F294" s="4" t="s">
        <v>21</v>
      </c>
      <c r="G294" s="5">
        <v>65951</v>
      </c>
      <c r="H294" s="5">
        <v>408511</v>
      </c>
      <c r="I294" s="4">
        <v>366</v>
      </c>
      <c r="J294" s="4">
        <v>0.97</v>
      </c>
      <c r="K294" s="4">
        <v>6.29</v>
      </c>
      <c r="L294" s="4">
        <v>1.2</v>
      </c>
      <c r="M294" s="4">
        <v>10</v>
      </c>
      <c r="N294" s="4">
        <v>811</v>
      </c>
      <c r="O294" s="4" t="str">
        <f t="shared" si="8"/>
        <v>EMI</v>
      </c>
      <c r="P294" s="5">
        <f t="shared" si="9"/>
        <v>66742.411999999997</v>
      </c>
    </row>
    <row r="295" spans="1:16" x14ac:dyDescent="0.25">
      <c r="A295" s="4">
        <v>2015</v>
      </c>
      <c r="B295" s="4">
        <v>11</v>
      </c>
      <c r="C295" s="12" t="s">
        <v>30</v>
      </c>
      <c r="D295" s="4" t="s">
        <v>29</v>
      </c>
      <c r="E295" s="4" t="s">
        <v>17</v>
      </c>
      <c r="F295" s="4" t="s">
        <v>25</v>
      </c>
      <c r="G295" s="5">
        <v>115863</v>
      </c>
      <c r="H295" s="5">
        <v>99156</v>
      </c>
      <c r="I295" s="4">
        <v>190</v>
      </c>
      <c r="J295" s="4">
        <v>0.97</v>
      </c>
      <c r="K295" s="4">
        <v>6.29</v>
      </c>
      <c r="L295" s="4">
        <v>1.2</v>
      </c>
      <c r="M295" s="4">
        <v>6</v>
      </c>
      <c r="N295" s="4">
        <v>473</v>
      </c>
      <c r="O295" s="4" t="str">
        <f t="shared" si="8"/>
        <v>EMI</v>
      </c>
      <c r="P295" s="5">
        <f t="shared" si="9"/>
        <v>117253.356</v>
      </c>
    </row>
    <row r="296" spans="1:16" x14ac:dyDescent="0.25">
      <c r="A296" s="4">
        <v>2015</v>
      </c>
      <c r="B296" s="4">
        <v>2</v>
      </c>
      <c r="C296" s="12" t="s">
        <v>28</v>
      </c>
      <c r="D296" s="4" t="s">
        <v>32</v>
      </c>
      <c r="E296" s="4" t="s">
        <v>17</v>
      </c>
      <c r="F296" s="4" t="s">
        <v>15</v>
      </c>
      <c r="G296" s="5">
        <v>113291</v>
      </c>
      <c r="H296" s="5">
        <v>258281</v>
      </c>
      <c r="I296" s="4">
        <v>365</v>
      </c>
      <c r="J296" s="4">
        <v>0.97</v>
      </c>
      <c r="K296" s="4">
        <v>6.29</v>
      </c>
      <c r="L296" s="4">
        <v>1.2</v>
      </c>
      <c r="M296" s="4">
        <v>6</v>
      </c>
      <c r="N296" s="4">
        <v>1027</v>
      </c>
      <c r="O296" s="4" t="str">
        <f t="shared" si="8"/>
        <v>EMI</v>
      </c>
      <c r="P296" s="5">
        <f t="shared" si="9"/>
        <v>114650.492</v>
      </c>
    </row>
    <row r="297" spans="1:16" x14ac:dyDescent="0.25">
      <c r="A297" s="4">
        <v>2019</v>
      </c>
      <c r="B297" s="4">
        <v>9</v>
      </c>
      <c r="C297" s="12" t="s">
        <v>34</v>
      </c>
      <c r="D297" s="4" t="s">
        <v>13</v>
      </c>
      <c r="E297" s="4" t="s">
        <v>18</v>
      </c>
      <c r="F297" s="4" t="s">
        <v>21</v>
      </c>
      <c r="G297" s="5">
        <v>94872</v>
      </c>
      <c r="H297" s="5">
        <v>137453</v>
      </c>
      <c r="I297" s="4">
        <v>173</v>
      </c>
      <c r="J297" s="4">
        <v>0.97</v>
      </c>
      <c r="K297" s="4">
        <v>6.29</v>
      </c>
      <c r="L297" s="4">
        <v>1.2</v>
      </c>
      <c r="M297" s="4">
        <v>8</v>
      </c>
      <c r="N297" s="4">
        <v>505</v>
      </c>
      <c r="O297" s="4" t="str">
        <f t="shared" si="8"/>
        <v>EMI</v>
      </c>
      <c r="P297" s="5">
        <f t="shared" si="9"/>
        <v>96010.464000000007</v>
      </c>
    </row>
    <row r="298" spans="1:16" x14ac:dyDescent="0.25">
      <c r="A298" s="4">
        <v>2020</v>
      </c>
      <c r="B298" s="4">
        <v>10</v>
      </c>
      <c r="C298" s="12" t="s">
        <v>34</v>
      </c>
      <c r="D298" s="4" t="s">
        <v>24</v>
      </c>
      <c r="E298" s="4" t="s">
        <v>17</v>
      </c>
      <c r="F298" s="4" t="s">
        <v>15</v>
      </c>
      <c r="G298" s="5">
        <v>42235</v>
      </c>
      <c r="H298" s="5">
        <v>208901</v>
      </c>
      <c r="I298" s="4">
        <v>77</v>
      </c>
      <c r="J298" s="4">
        <v>0.97</v>
      </c>
      <c r="K298" s="4">
        <v>6.29</v>
      </c>
      <c r="L298" s="4">
        <v>1.2</v>
      </c>
      <c r="M298" s="4">
        <v>4</v>
      </c>
      <c r="N298" s="4">
        <v>369</v>
      </c>
      <c r="O298" s="4" t="str">
        <f t="shared" si="8"/>
        <v>EMI</v>
      </c>
      <c r="P298" s="5">
        <f t="shared" si="9"/>
        <v>42741.82</v>
      </c>
    </row>
    <row r="299" spans="1:16" x14ac:dyDescent="0.25">
      <c r="A299" s="4">
        <v>2017</v>
      </c>
      <c r="B299" s="4">
        <v>2</v>
      </c>
      <c r="C299" s="12" t="s">
        <v>28</v>
      </c>
      <c r="D299" s="4" t="s">
        <v>31</v>
      </c>
      <c r="E299" s="4" t="s">
        <v>18</v>
      </c>
      <c r="F299" s="4" t="s">
        <v>15</v>
      </c>
      <c r="G299" s="5">
        <v>117733</v>
      </c>
      <c r="H299" s="5">
        <v>75938</v>
      </c>
      <c r="I299" s="4">
        <v>301</v>
      </c>
      <c r="J299" s="4">
        <v>0.97</v>
      </c>
      <c r="K299" s="4">
        <v>6.29</v>
      </c>
      <c r="L299" s="4">
        <v>1.2</v>
      </c>
      <c r="M299" s="4">
        <v>3</v>
      </c>
      <c r="N299" s="4">
        <v>782</v>
      </c>
      <c r="O299" s="4" t="str">
        <f t="shared" si="8"/>
        <v>EMI</v>
      </c>
      <c r="P299" s="5">
        <f t="shared" si="9"/>
        <v>119145.796</v>
      </c>
    </row>
    <row r="300" spans="1:16" x14ac:dyDescent="0.25">
      <c r="A300" s="4">
        <v>2023</v>
      </c>
      <c r="B300" s="4">
        <v>5</v>
      </c>
      <c r="C300" s="12" t="s">
        <v>34</v>
      </c>
      <c r="D300" s="4" t="s">
        <v>32</v>
      </c>
      <c r="E300" s="4" t="s">
        <v>17</v>
      </c>
      <c r="F300" s="4" t="s">
        <v>21</v>
      </c>
      <c r="G300" s="5">
        <v>97712</v>
      </c>
      <c r="H300" s="5">
        <v>109164</v>
      </c>
      <c r="I300" s="4">
        <v>189</v>
      </c>
      <c r="J300" s="4">
        <v>0.97</v>
      </c>
      <c r="K300" s="4">
        <v>6.29</v>
      </c>
      <c r="L300" s="4">
        <v>1.2</v>
      </c>
      <c r="M300" s="4">
        <v>7</v>
      </c>
      <c r="N300" s="4">
        <v>432</v>
      </c>
      <c r="O300" s="4" t="str">
        <f t="shared" si="8"/>
        <v>EMI</v>
      </c>
      <c r="P300" s="5">
        <f t="shared" si="9"/>
        <v>98884.543999999994</v>
      </c>
    </row>
    <row r="301" spans="1:16" x14ac:dyDescent="0.25">
      <c r="A301" s="4">
        <v>2019</v>
      </c>
      <c r="B301" s="4">
        <v>9</v>
      </c>
      <c r="C301" s="12" t="s">
        <v>26</v>
      </c>
      <c r="D301" s="4" t="s">
        <v>20</v>
      </c>
      <c r="E301" s="4" t="s">
        <v>14</v>
      </c>
      <c r="F301" s="4" t="s">
        <v>15</v>
      </c>
      <c r="G301" s="5">
        <v>56473</v>
      </c>
      <c r="H301" s="5">
        <v>497746</v>
      </c>
      <c r="I301" s="4">
        <v>190</v>
      </c>
      <c r="J301" s="4">
        <v>0.97</v>
      </c>
      <c r="K301" s="4">
        <v>6.29</v>
      </c>
      <c r="L301" s="4">
        <v>1.2</v>
      </c>
      <c r="M301" s="4">
        <v>5</v>
      </c>
      <c r="N301" s="4">
        <v>773</v>
      </c>
      <c r="O301" s="4" t="str">
        <f t="shared" si="8"/>
        <v>EMI</v>
      </c>
      <c r="P301" s="5">
        <f t="shared" si="9"/>
        <v>57150.675999999999</v>
      </c>
    </row>
    <row r="302" spans="1:16" x14ac:dyDescent="0.25">
      <c r="A302" s="4">
        <v>2022</v>
      </c>
      <c r="B302" s="4">
        <v>9</v>
      </c>
      <c r="C302" s="12" t="s">
        <v>34</v>
      </c>
      <c r="D302" s="4" t="s">
        <v>24</v>
      </c>
      <c r="E302" s="4" t="s">
        <v>18</v>
      </c>
      <c r="F302" s="4" t="s">
        <v>18</v>
      </c>
      <c r="G302" s="5">
        <v>102567</v>
      </c>
      <c r="H302" s="5">
        <v>249271</v>
      </c>
      <c r="I302" s="4">
        <v>178</v>
      </c>
      <c r="J302" s="4">
        <v>0.97</v>
      </c>
      <c r="K302" s="4">
        <v>6.29</v>
      </c>
      <c r="L302" s="4">
        <v>1.2</v>
      </c>
      <c r="M302" s="4">
        <v>2</v>
      </c>
      <c r="N302" s="4">
        <v>554</v>
      </c>
      <c r="O302" s="4" t="str">
        <f t="shared" si="8"/>
        <v>Full</v>
      </c>
      <c r="P302" s="5">
        <f t="shared" si="9"/>
        <v>102567</v>
      </c>
    </row>
    <row r="303" spans="1:16" x14ac:dyDescent="0.25">
      <c r="A303" s="4">
        <v>2015</v>
      </c>
      <c r="B303" s="4">
        <v>8</v>
      </c>
      <c r="C303" s="12" t="s">
        <v>33</v>
      </c>
      <c r="D303" s="4" t="s">
        <v>24</v>
      </c>
      <c r="E303" s="4" t="s">
        <v>18</v>
      </c>
      <c r="F303" s="4" t="s">
        <v>21</v>
      </c>
      <c r="G303" s="5">
        <v>114823</v>
      </c>
      <c r="H303" s="5">
        <v>110282</v>
      </c>
      <c r="I303" s="4">
        <v>31</v>
      </c>
      <c r="J303" s="4">
        <v>0.97</v>
      </c>
      <c r="K303" s="4">
        <v>6.29</v>
      </c>
      <c r="L303" s="4">
        <v>1.2</v>
      </c>
      <c r="M303" s="4">
        <v>2</v>
      </c>
      <c r="N303" s="4">
        <v>398</v>
      </c>
      <c r="O303" s="4" t="str">
        <f t="shared" si="8"/>
        <v>Full</v>
      </c>
      <c r="P303" s="5">
        <f t="shared" si="9"/>
        <v>114823</v>
      </c>
    </row>
    <row r="304" spans="1:16" x14ac:dyDescent="0.25">
      <c r="A304" s="4">
        <v>2019</v>
      </c>
      <c r="B304" s="4">
        <v>1</v>
      </c>
      <c r="C304" s="12" t="s">
        <v>23</v>
      </c>
      <c r="D304" s="4" t="s">
        <v>32</v>
      </c>
      <c r="E304" s="4" t="s">
        <v>17</v>
      </c>
      <c r="F304" s="4" t="s">
        <v>18</v>
      </c>
      <c r="G304" s="5">
        <v>67230</v>
      </c>
      <c r="H304" s="5">
        <v>359945</v>
      </c>
      <c r="I304" s="4">
        <v>75</v>
      </c>
      <c r="J304" s="4">
        <v>0.97</v>
      </c>
      <c r="K304" s="4">
        <v>6.29</v>
      </c>
      <c r="L304" s="4">
        <v>1.2</v>
      </c>
      <c r="M304" s="4">
        <v>6</v>
      </c>
      <c r="N304" s="4">
        <v>424</v>
      </c>
      <c r="O304" s="4" t="str">
        <f t="shared" si="8"/>
        <v>EMI</v>
      </c>
      <c r="P304" s="5">
        <f t="shared" si="9"/>
        <v>68036.759999999995</v>
      </c>
    </row>
    <row r="305" spans="1:16" x14ac:dyDescent="0.25">
      <c r="A305" s="4">
        <v>2017</v>
      </c>
      <c r="B305" s="4">
        <v>1</v>
      </c>
      <c r="C305" s="12" t="s">
        <v>34</v>
      </c>
      <c r="D305" s="4" t="s">
        <v>24</v>
      </c>
      <c r="E305" s="4" t="s">
        <v>17</v>
      </c>
      <c r="F305" s="4" t="s">
        <v>25</v>
      </c>
      <c r="G305" s="5">
        <v>119573</v>
      </c>
      <c r="H305" s="5">
        <v>452681</v>
      </c>
      <c r="I305" s="4">
        <v>30</v>
      </c>
      <c r="J305" s="4">
        <v>0.97</v>
      </c>
      <c r="K305" s="4">
        <v>6.29</v>
      </c>
      <c r="L305" s="4">
        <v>1.2</v>
      </c>
      <c r="M305" s="4">
        <v>8</v>
      </c>
      <c r="N305" s="4">
        <v>67</v>
      </c>
      <c r="O305" s="4" t="str">
        <f t="shared" si="8"/>
        <v>EMI</v>
      </c>
      <c r="P305" s="5">
        <f t="shared" si="9"/>
        <v>121007.876</v>
      </c>
    </row>
    <row r="306" spans="1:16" x14ac:dyDescent="0.25">
      <c r="A306" s="4">
        <v>2015</v>
      </c>
      <c r="B306" s="4">
        <v>9</v>
      </c>
      <c r="C306" s="12" t="s">
        <v>23</v>
      </c>
      <c r="D306" s="4" t="s">
        <v>27</v>
      </c>
      <c r="E306" s="4" t="s">
        <v>18</v>
      </c>
      <c r="F306" s="4" t="s">
        <v>15</v>
      </c>
      <c r="G306" s="5">
        <v>103876</v>
      </c>
      <c r="H306" s="5">
        <v>315470</v>
      </c>
      <c r="I306" s="4">
        <v>109</v>
      </c>
      <c r="J306" s="4">
        <v>0.97</v>
      </c>
      <c r="K306" s="4">
        <v>6.29</v>
      </c>
      <c r="L306" s="4">
        <v>1.2</v>
      </c>
      <c r="M306" s="4">
        <v>1</v>
      </c>
      <c r="N306" s="4">
        <v>540</v>
      </c>
      <c r="O306" s="4" t="str">
        <f t="shared" si="8"/>
        <v>Discount</v>
      </c>
      <c r="P306" s="5">
        <f t="shared" si="9"/>
        <v>93488.400000000009</v>
      </c>
    </row>
    <row r="307" spans="1:16" x14ac:dyDescent="0.25">
      <c r="A307" s="4">
        <v>2018</v>
      </c>
      <c r="B307" s="4">
        <v>11</v>
      </c>
      <c r="C307" s="12" t="s">
        <v>35</v>
      </c>
      <c r="D307" s="4" t="s">
        <v>32</v>
      </c>
      <c r="E307" s="4" t="s">
        <v>17</v>
      </c>
      <c r="F307" s="4" t="s">
        <v>25</v>
      </c>
      <c r="G307" s="5">
        <v>75644</v>
      </c>
      <c r="H307" s="5">
        <v>446875</v>
      </c>
      <c r="I307" s="4">
        <v>393</v>
      </c>
      <c r="J307" s="4">
        <v>0.97</v>
      </c>
      <c r="K307" s="4">
        <v>6.29</v>
      </c>
      <c r="L307" s="4">
        <v>1.2</v>
      </c>
      <c r="M307" s="4">
        <v>6</v>
      </c>
      <c r="N307" s="4">
        <v>887</v>
      </c>
      <c r="O307" s="4" t="str">
        <f t="shared" si="8"/>
        <v>EMI</v>
      </c>
      <c r="P307" s="5">
        <f t="shared" si="9"/>
        <v>76551.728000000003</v>
      </c>
    </row>
    <row r="308" spans="1:16" x14ac:dyDescent="0.25">
      <c r="A308" s="4">
        <v>2019</v>
      </c>
      <c r="B308" s="4">
        <v>8</v>
      </c>
      <c r="C308" s="12" t="s">
        <v>19</v>
      </c>
      <c r="D308" s="4" t="s">
        <v>29</v>
      </c>
      <c r="E308" s="4" t="s">
        <v>14</v>
      </c>
      <c r="F308" s="4" t="s">
        <v>25</v>
      </c>
      <c r="G308" s="5">
        <v>83664</v>
      </c>
      <c r="H308" s="5">
        <v>208666</v>
      </c>
      <c r="I308" s="4">
        <v>309</v>
      </c>
      <c r="J308" s="4">
        <v>0.97</v>
      </c>
      <c r="K308" s="4">
        <v>6.29</v>
      </c>
      <c r="L308" s="4">
        <v>1.2</v>
      </c>
      <c r="M308" s="4">
        <v>2</v>
      </c>
      <c r="N308" s="4">
        <v>687</v>
      </c>
      <c r="O308" s="4" t="str">
        <f t="shared" si="8"/>
        <v>Full</v>
      </c>
      <c r="P308" s="5">
        <f t="shared" si="9"/>
        <v>83664</v>
      </c>
    </row>
    <row r="309" spans="1:16" x14ac:dyDescent="0.25">
      <c r="A309" s="4">
        <v>2021</v>
      </c>
      <c r="B309" s="4">
        <v>10</v>
      </c>
      <c r="C309" s="12" t="s">
        <v>26</v>
      </c>
      <c r="D309" s="4" t="s">
        <v>16</v>
      </c>
      <c r="E309" s="4" t="s">
        <v>17</v>
      </c>
      <c r="F309" s="4" t="s">
        <v>15</v>
      </c>
      <c r="G309" s="5">
        <v>80203</v>
      </c>
      <c r="H309" s="5">
        <v>165819</v>
      </c>
      <c r="I309" s="4">
        <v>112</v>
      </c>
      <c r="J309" s="4">
        <v>0.97</v>
      </c>
      <c r="K309" s="4">
        <v>6.29</v>
      </c>
      <c r="L309" s="4">
        <v>1.2</v>
      </c>
      <c r="M309" s="4">
        <v>2</v>
      </c>
      <c r="N309" s="4">
        <v>514</v>
      </c>
      <c r="O309" s="4" t="str">
        <f t="shared" si="8"/>
        <v>Full</v>
      </c>
      <c r="P309" s="5">
        <f t="shared" si="9"/>
        <v>80203</v>
      </c>
    </row>
    <row r="310" spans="1:16" x14ac:dyDescent="0.25">
      <c r="A310" s="4">
        <v>2015</v>
      </c>
      <c r="B310" s="4">
        <v>9</v>
      </c>
      <c r="C310" s="12" t="s">
        <v>19</v>
      </c>
      <c r="D310" s="4" t="s">
        <v>13</v>
      </c>
      <c r="E310" s="4" t="s">
        <v>14</v>
      </c>
      <c r="F310" s="4" t="s">
        <v>21</v>
      </c>
      <c r="G310" s="5">
        <v>101677</v>
      </c>
      <c r="H310" s="5">
        <v>316907</v>
      </c>
      <c r="I310" s="4">
        <v>56</v>
      </c>
      <c r="J310" s="4">
        <v>0.97</v>
      </c>
      <c r="K310" s="4">
        <v>6.29</v>
      </c>
      <c r="L310" s="4">
        <v>1.2</v>
      </c>
      <c r="M310" s="4">
        <v>7</v>
      </c>
      <c r="N310" s="4">
        <v>255</v>
      </c>
      <c r="O310" s="4" t="str">
        <f t="shared" si="8"/>
        <v>EMI</v>
      </c>
      <c r="P310" s="5">
        <f t="shared" si="9"/>
        <v>102897.124</v>
      </c>
    </row>
    <row r="311" spans="1:16" x14ac:dyDescent="0.25">
      <c r="A311" s="4">
        <v>2017</v>
      </c>
      <c r="B311" s="4">
        <v>7</v>
      </c>
      <c r="C311" s="12" t="s">
        <v>35</v>
      </c>
      <c r="D311" s="4" t="s">
        <v>22</v>
      </c>
      <c r="E311" s="4" t="s">
        <v>14</v>
      </c>
      <c r="F311" s="4" t="s">
        <v>15</v>
      </c>
      <c r="G311" s="5">
        <v>60425</v>
      </c>
      <c r="H311" s="5">
        <v>191900</v>
      </c>
      <c r="I311" s="4">
        <v>48</v>
      </c>
      <c r="J311" s="4">
        <v>0.97</v>
      </c>
      <c r="K311" s="4">
        <v>6.29</v>
      </c>
      <c r="L311" s="4">
        <v>1.2</v>
      </c>
      <c r="M311" s="4">
        <v>10</v>
      </c>
      <c r="N311" s="4">
        <v>302</v>
      </c>
      <c r="O311" s="4" t="str">
        <f t="shared" si="8"/>
        <v>EMI</v>
      </c>
      <c r="P311" s="5">
        <f t="shared" si="9"/>
        <v>61150.1</v>
      </c>
    </row>
    <row r="312" spans="1:16" x14ac:dyDescent="0.25">
      <c r="A312" s="4">
        <v>2016</v>
      </c>
      <c r="B312" s="4">
        <v>3</v>
      </c>
      <c r="C312" s="12" t="s">
        <v>26</v>
      </c>
      <c r="D312" s="4" t="s">
        <v>37</v>
      </c>
      <c r="E312" s="4" t="s">
        <v>14</v>
      </c>
      <c r="F312" s="4" t="s">
        <v>25</v>
      </c>
      <c r="G312" s="5">
        <v>119817</v>
      </c>
      <c r="H312" s="5">
        <v>359732</v>
      </c>
      <c r="I312" s="4">
        <v>294</v>
      </c>
      <c r="J312" s="4">
        <v>0.97</v>
      </c>
      <c r="K312" s="4">
        <v>6.29</v>
      </c>
      <c r="L312" s="4">
        <v>1.2</v>
      </c>
      <c r="M312" s="4">
        <v>1</v>
      </c>
      <c r="N312" s="4">
        <v>730</v>
      </c>
      <c r="O312" s="4" t="str">
        <f t="shared" si="8"/>
        <v>Discount</v>
      </c>
      <c r="P312" s="5">
        <f t="shared" si="9"/>
        <v>107835.3</v>
      </c>
    </row>
    <row r="313" spans="1:16" x14ac:dyDescent="0.25">
      <c r="A313" s="4">
        <v>2023</v>
      </c>
      <c r="B313" s="4">
        <v>3</v>
      </c>
      <c r="C313" s="12" t="s">
        <v>28</v>
      </c>
      <c r="D313" s="4" t="s">
        <v>24</v>
      </c>
      <c r="E313" s="4" t="s">
        <v>14</v>
      </c>
      <c r="F313" s="4" t="s">
        <v>25</v>
      </c>
      <c r="G313" s="5">
        <v>104806</v>
      </c>
      <c r="H313" s="5">
        <v>323365</v>
      </c>
      <c r="I313" s="4">
        <v>319</v>
      </c>
      <c r="J313" s="4">
        <v>0.97</v>
      </c>
      <c r="K313" s="4">
        <v>6.29</v>
      </c>
      <c r="L313" s="4">
        <v>1.2</v>
      </c>
      <c r="M313" s="4">
        <v>6</v>
      </c>
      <c r="N313" s="4">
        <v>847</v>
      </c>
      <c r="O313" s="4" t="str">
        <f t="shared" si="8"/>
        <v>EMI</v>
      </c>
      <c r="P313" s="5">
        <f t="shared" si="9"/>
        <v>106063.67200000001</v>
      </c>
    </row>
    <row r="314" spans="1:16" x14ac:dyDescent="0.25">
      <c r="A314" s="4">
        <v>2024</v>
      </c>
      <c r="B314" s="4">
        <v>2</v>
      </c>
      <c r="C314" s="12" t="s">
        <v>28</v>
      </c>
      <c r="D314" s="4" t="s">
        <v>29</v>
      </c>
      <c r="E314" s="4" t="s">
        <v>14</v>
      </c>
      <c r="F314" s="4" t="s">
        <v>21</v>
      </c>
      <c r="G314" s="5">
        <v>77814</v>
      </c>
      <c r="H314" s="5">
        <v>454427</v>
      </c>
      <c r="I314" s="4">
        <v>99</v>
      </c>
      <c r="J314" s="4">
        <v>0.97</v>
      </c>
      <c r="K314" s="4">
        <v>6.29</v>
      </c>
      <c r="L314" s="4">
        <v>1.2</v>
      </c>
      <c r="M314" s="4">
        <v>7</v>
      </c>
      <c r="N314" s="4">
        <v>498</v>
      </c>
      <c r="O314" s="4" t="str">
        <f t="shared" si="8"/>
        <v>EMI</v>
      </c>
      <c r="P314" s="5">
        <f t="shared" si="9"/>
        <v>78747.767999999996</v>
      </c>
    </row>
    <row r="315" spans="1:16" x14ac:dyDescent="0.25">
      <c r="A315" s="4">
        <v>2020</v>
      </c>
      <c r="B315" s="4">
        <v>5</v>
      </c>
      <c r="C315" s="12" t="s">
        <v>23</v>
      </c>
      <c r="D315" s="4" t="s">
        <v>31</v>
      </c>
      <c r="E315" s="4" t="s">
        <v>17</v>
      </c>
      <c r="F315" s="4" t="s">
        <v>15</v>
      </c>
      <c r="G315" s="5">
        <v>105219</v>
      </c>
      <c r="H315" s="5">
        <v>63569</v>
      </c>
      <c r="I315" s="4">
        <v>94</v>
      </c>
      <c r="J315" s="4">
        <v>0.97</v>
      </c>
      <c r="K315" s="4">
        <v>6.29</v>
      </c>
      <c r="L315" s="4">
        <v>1.2</v>
      </c>
      <c r="M315" s="4">
        <v>8</v>
      </c>
      <c r="N315" s="4">
        <v>176</v>
      </c>
      <c r="O315" s="4" t="str">
        <f t="shared" si="8"/>
        <v>EMI</v>
      </c>
      <c r="P315" s="5">
        <f t="shared" si="9"/>
        <v>106481.628</v>
      </c>
    </row>
    <row r="316" spans="1:16" x14ac:dyDescent="0.25">
      <c r="A316" s="4">
        <v>2024</v>
      </c>
      <c r="B316" s="4">
        <v>12</v>
      </c>
      <c r="C316" s="12" t="s">
        <v>35</v>
      </c>
      <c r="D316" s="4" t="s">
        <v>31</v>
      </c>
      <c r="E316" s="4" t="s">
        <v>14</v>
      </c>
      <c r="F316" s="4" t="s">
        <v>25</v>
      </c>
      <c r="G316" s="5">
        <v>84646</v>
      </c>
      <c r="H316" s="5">
        <v>277966</v>
      </c>
      <c r="I316" s="4">
        <v>282</v>
      </c>
      <c r="J316" s="4">
        <v>0.97</v>
      </c>
      <c r="K316" s="4">
        <v>6.29</v>
      </c>
      <c r="L316" s="4">
        <v>1.2</v>
      </c>
      <c r="M316" s="4">
        <v>7</v>
      </c>
      <c r="N316" s="4">
        <v>736</v>
      </c>
      <c r="O316" s="4" t="str">
        <f t="shared" si="8"/>
        <v>EMI</v>
      </c>
      <c r="P316" s="5">
        <f t="shared" si="9"/>
        <v>85661.752000000008</v>
      </c>
    </row>
    <row r="317" spans="1:16" x14ac:dyDescent="0.25">
      <c r="A317" s="4">
        <v>2017</v>
      </c>
      <c r="B317" s="4">
        <v>12</v>
      </c>
      <c r="C317" s="12" t="s">
        <v>23</v>
      </c>
      <c r="D317" s="4" t="s">
        <v>37</v>
      </c>
      <c r="E317" s="4" t="s">
        <v>17</v>
      </c>
      <c r="F317" s="4" t="s">
        <v>18</v>
      </c>
      <c r="G317" s="5">
        <v>74884</v>
      </c>
      <c r="H317" s="5">
        <v>87860</v>
      </c>
      <c r="I317" s="4">
        <v>345</v>
      </c>
      <c r="J317" s="4">
        <v>0.97</v>
      </c>
      <c r="K317" s="4">
        <v>6.29</v>
      </c>
      <c r="L317" s="4">
        <v>1.2</v>
      </c>
      <c r="M317" s="4">
        <v>6</v>
      </c>
      <c r="N317" s="4">
        <v>836</v>
      </c>
      <c r="O317" s="4" t="str">
        <f t="shared" si="8"/>
        <v>EMI</v>
      </c>
      <c r="P317" s="5">
        <f t="shared" si="9"/>
        <v>75782.608000000007</v>
      </c>
    </row>
    <row r="318" spans="1:16" x14ac:dyDescent="0.25">
      <c r="A318" s="4">
        <v>2022</v>
      </c>
      <c r="B318" s="4">
        <v>3</v>
      </c>
      <c r="C318" s="12" t="s">
        <v>30</v>
      </c>
      <c r="D318" s="4" t="s">
        <v>13</v>
      </c>
      <c r="E318" s="4" t="s">
        <v>14</v>
      </c>
      <c r="F318" s="4" t="s">
        <v>25</v>
      </c>
      <c r="G318" s="5">
        <v>104322</v>
      </c>
      <c r="H318" s="5">
        <v>252630</v>
      </c>
      <c r="I318" s="4">
        <v>197</v>
      </c>
      <c r="J318" s="4">
        <v>0.97</v>
      </c>
      <c r="K318" s="4">
        <v>6.29</v>
      </c>
      <c r="L318" s="4">
        <v>1.2</v>
      </c>
      <c r="M318" s="4">
        <v>9</v>
      </c>
      <c r="N318" s="4">
        <v>609</v>
      </c>
      <c r="O318" s="4" t="str">
        <f t="shared" si="8"/>
        <v>EMI</v>
      </c>
      <c r="P318" s="5">
        <f t="shared" si="9"/>
        <v>105573.864</v>
      </c>
    </row>
    <row r="319" spans="1:16" x14ac:dyDescent="0.25">
      <c r="A319" s="4">
        <v>2022</v>
      </c>
      <c r="B319" s="4">
        <v>6</v>
      </c>
      <c r="C319" s="12" t="s">
        <v>34</v>
      </c>
      <c r="D319" s="4" t="s">
        <v>24</v>
      </c>
      <c r="E319" s="4" t="s">
        <v>18</v>
      </c>
      <c r="F319" s="4" t="s">
        <v>25</v>
      </c>
      <c r="G319" s="5">
        <v>56650</v>
      </c>
      <c r="H319" s="5">
        <v>357481</v>
      </c>
      <c r="I319" s="4">
        <v>168</v>
      </c>
      <c r="J319" s="4">
        <v>0.97</v>
      </c>
      <c r="K319" s="4">
        <v>6.29</v>
      </c>
      <c r="L319" s="4">
        <v>1.2</v>
      </c>
      <c r="M319" s="4">
        <v>3</v>
      </c>
      <c r="N319" s="4">
        <v>753</v>
      </c>
      <c r="O319" s="4" t="str">
        <f t="shared" si="8"/>
        <v>EMI</v>
      </c>
      <c r="P319" s="5">
        <f t="shared" si="9"/>
        <v>57329.8</v>
      </c>
    </row>
    <row r="320" spans="1:16" x14ac:dyDescent="0.25">
      <c r="A320" s="4">
        <v>2016</v>
      </c>
      <c r="B320" s="4">
        <v>2</v>
      </c>
      <c r="C320" s="12" t="s">
        <v>12</v>
      </c>
      <c r="D320" s="4" t="s">
        <v>27</v>
      </c>
      <c r="E320" s="4" t="s">
        <v>14</v>
      </c>
      <c r="F320" s="4" t="s">
        <v>21</v>
      </c>
      <c r="G320" s="5">
        <v>44190</v>
      </c>
      <c r="H320" s="5">
        <v>495527</v>
      </c>
      <c r="I320" s="4">
        <v>252</v>
      </c>
      <c r="J320" s="4">
        <v>0.97</v>
      </c>
      <c r="K320" s="4">
        <v>6.29</v>
      </c>
      <c r="L320" s="4">
        <v>1.2</v>
      </c>
      <c r="M320" s="4">
        <v>6</v>
      </c>
      <c r="N320" s="4">
        <v>632</v>
      </c>
      <c r="O320" s="4" t="str">
        <f t="shared" si="8"/>
        <v>EMI</v>
      </c>
      <c r="P320" s="5">
        <f t="shared" si="9"/>
        <v>44720.28</v>
      </c>
    </row>
    <row r="321" spans="1:16" x14ac:dyDescent="0.25">
      <c r="A321" s="4">
        <v>2020</v>
      </c>
      <c r="B321" s="4">
        <v>12</v>
      </c>
      <c r="C321" s="12" t="s">
        <v>30</v>
      </c>
      <c r="D321" s="4" t="s">
        <v>37</v>
      </c>
      <c r="E321" s="4" t="s">
        <v>18</v>
      </c>
      <c r="F321" s="4" t="s">
        <v>18</v>
      </c>
      <c r="G321" s="5">
        <v>73196</v>
      </c>
      <c r="H321" s="5">
        <v>194587</v>
      </c>
      <c r="I321" s="4">
        <v>82</v>
      </c>
      <c r="J321" s="4">
        <v>0.97</v>
      </c>
      <c r="K321" s="4">
        <v>6.29</v>
      </c>
      <c r="L321" s="4">
        <v>1.2</v>
      </c>
      <c r="M321" s="4">
        <v>4</v>
      </c>
      <c r="N321" s="4">
        <v>531</v>
      </c>
      <c r="O321" s="4" t="str">
        <f t="shared" si="8"/>
        <v>EMI</v>
      </c>
      <c r="P321" s="5">
        <f t="shared" si="9"/>
        <v>74074.351999999999</v>
      </c>
    </row>
    <row r="322" spans="1:16" x14ac:dyDescent="0.25">
      <c r="A322" s="4">
        <v>2021</v>
      </c>
      <c r="B322" s="4">
        <v>3</v>
      </c>
      <c r="C322" s="12" t="s">
        <v>34</v>
      </c>
      <c r="D322" s="4" t="s">
        <v>13</v>
      </c>
      <c r="E322" s="4" t="s">
        <v>14</v>
      </c>
      <c r="F322" s="4" t="s">
        <v>25</v>
      </c>
      <c r="G322" s="5">
        <v>74449</v>
      </c>
      <c r="H322" s="5">
        <v>121695</v>
      </c>
      <c r="I322" s="4">
        <v>58</v>
      </c>
      <c r="J322" s="4">
        <v>0.97</v>
      </c>
      <c r="K322" s="4">
        <v>6.29</v>
      </c>
      <c r="L322" s="4">
        <v>1.2</v>
      </c>
      <c r="M322" s="4">
        <v>2</v>
      </c>
      <c r="N322" s="4">
        <v>542</v>
      </c>
      <c r="O322" s="4" t="str">
        <f t="shared" ref="O322:O385" si="10">IF(M322&gt;2,"EMI",IF(H322&gt;300000,"Discount","Full"))</f>
        <v>Full</v>
      </c>
      <c r="P322" s="5">
        <f t="shared" ref="P322:P385" si="11">IF(O322="EMI", G322*(1+L322/100), IF(O322="Full", G322, G322*0.9))</f>
        <v>74449</v>
      </c>
    </row>
    <row r="323" spans="1:16" x14ac:dyDescent="0.25">
      <c r="A323" s="4">
        <v>2016</v>
      </c>
      <c r="B323" s="4">
        <v>5</v>
      </c>
      <c r="C323" s="12" t="s">
        <v>26</v>
      </c>
      <c r="D323" s="4" t="s">
        <v>24</v>
      </c>
      <c r="E323" s="4" t="s">
        <v>14</v>
      </c>
      <c r="F323" s="4" t="s">
        <v>25</v>
      </c>
      <c r="G323" s="5">
        <v>74661</v>
      </c>
      <c r="H323" s="5">
        <v>303078</v>
      </c>
      <c r="I323" s="4">
        <v>110</v>
      </c>
      <c r="J323" s="4">
        <v>0.97</v>
      </c>
      <c r="K323" s="4">
        <v>6.29</v>
      </c>
      <c r="L323" s="4">
        <v>1.2</v>
      </c>
      <c r="M323" s="4">
        <v>1</v>
      </c>
      <c r="N323" s="4">
        <v>529</v>
      </c>
      <c r="O323" s="4" t="str">
        <f t="shared" si="10"/>
        <v>Discount</v>
      </c>
      <c r="P323" s="5">
        <f t="shared" si="11"/>
        <v>67194.900000000009</v>
      </c>
    </row>
    <row r="324" spans="1:16" x14ac:dyDescent="0.25">
      <c r="A324" s="4">
        <v>2024</v>
      </c>
      <c r="B324" s="4">
        <v>12</v>
      </c>
      <c r="C324" s="12" t="s">
        <v>23</v>
      </c>
      <c r="D324" s="4" t="s">
        <v>29</v>
      </c>
      <c r="E324" s="4" t="s">
        <v>14</v>
      </c>
      <c r="F324" s="4" t="s">
        <v>18</v>
      </c>
      <c r="G324" s="5">
        <v>64709</v>
      </c>
      <c r="H324" s="5">
        <v>292599</v>
      </c>
      <c r="I324" s="4">
        <v>11</v>
      </c>
      <c r="J324" s="4">
        <v>0.97</v>
      </c>
      <c r="K324" s="4">
        <v>6.29</v>
      </c>
      <c r="L324" s="4">
        <v>1.2</v>
      </c>
      <c r="M324" s="4">
        <v>1</v>
      </c>
      <c r="N324" s="4">
        <v>130</v>
      </c>
      <c r="O324" s="4" t="str">
        <f t="shared" si="10"/>
        <v>Full</v>
      </c>
      <c r="P324" s="5">
        <f t="shared" si="11"/>
        <v>64709</v>
      </c>
    </row>
    <row r="325" spans="1:16" x14ac:dyDescent="0.25">
      <c r="A325" s="4">
        <v>2016</v>
      </c>
      <c r="B325" s="4">
        <v>11</v>
      </c>
      <c r="C325" s="12" t="s">
        <v>26</v>
      </c>
      <c r="D325" s="4" t="s">
        <v>16</v>
      </c>
      <c r="E325" s="4" t="s">
        <v>18</v>
      </c>
      <c r="F325" s="4" t="s">
        <v>15</v>
      </c>
      <c r="G325" s="5">
        <v>115428</v>
      </c>
      <c r="H325" s="5">
        <v>418893</v>
      </c>
      <c r="I325" s="4">
        <v>253</v>
      </c>
      <c r="J325" s="4">
        <v>0.97</v>
      </c>
      <c r="K325" s="4">
        <v>6.29</v>
      </c>
      <c r="L325" s="4">
        <v>1.2</v>
      </c>
      <c r="M325" s="4">
        <v>10</v>
      </c>
      <c r="N325" s="4">
        <v>533</v>
      </c>
      <c r="O325" s="4" t="str">
        <f t="shared" si="10"/>
        <v>EMI</v>
      </c>
      <c r="P325" s="5">
        <f t="shared" si="11"/>
        <v>116813.136</v>
      </c>
    </row>
    <row r="326" spans="1:16" x14ac:dyDescent="0.25">
      <c r="A326" s="4">
        <v>2024</v>
      </c>
      <c r="B326" s="4">
        <v>11</v>
      </c>
      <c r="C326" s="12" t="s">
        <v>26</v>
      </c>
      <c r="D326" s="4" t="s">
        <v>27</v>
      </c>
      <c r="E326" s="4" t="s">
        <v>18</v>
      </c>
      <c r="F326" s="4" t="s">
        <v>15</v>
      </c>
      <c r="G326" s="5">
        <v>110179</v>
      </c>
      <c r="H326" s="5">
        <v>205976</v>
      </c>
      <c r="I326" s="4">
        <v>185</v>
      </c>
      <c r="J326" s="4">
        <v>0.97</v>
      </c>
      <c r="K326" s="4">
        <v>6.29</v>
      </c>
      <c r="L326" s="4">
        <v>1.2</v>
      </c>
      <c r="M326" s="4">
        <v>3</v>
      </c>
      <c r="N326" s="4">
        <v>430</v>
      </c>
      <c r="O326" s="4" t="str">
        <f t="shared" si="10"/>
        <v>EMI</v>
      </c>
      <c r="P326" s="5">
        <f t="shared" si="11"/>
        <v>111501.148</v>
      </c>
    </row>
    <row r="327" spans="1:16" x14ac:dyDescent="0.25">
      <c r="A327" s="4">
        <v>2015</v>
      </c>
      <c r="B327" s="4">
        <v>1</v>
      </c>
      <c r="C327" s="12" t="s">
        <v>34</v>
      </c>
      <c r="D327" s="4" t="s">
        <v>22</v>
      </c>
      <c r="E327" s="4" t="s">
        <v>14</v>
      </c>
      <c r="F327" s="4" t="s">
        <v>25</v>
      </c>
      <c r="G327" s="5">
        <v>44943</v>
      </c>
      <c r="H327" s="5">
        <v>241007</v>
      </c>
      <c r="I327" s="4">
        <v>247</v>
      </c>
      <c r="J327" s="4">
        <v>0.97</v>
      </c>
      <c r="K327" s="4">
        <v>6.29</v>
      </c>
      <c r="L327" s="4">
        <v>1.2</v>
      </c>
      <c r="M327" s="4">
        <v>4</v>
      </c>
      <c r="N327" s="4">
        <v>647</v>
      </c>
      <c r="O327" s="4" t="str">
        <f t="shared" si="10"/>
        <v>EMI</v>
      </c>
      <c r="P327" s="5">
        <f t="shared" si="11"/>
        <v>45482.315999999999</v>
      </c>
    </row>
    <row r="328" spans="1:16" x14ac:dyDescent="0.25">
      <c r="A328" s="4">
        <v>2022</v>
      </c>
      <c r="B328" s="4">
        <v>1</v>
      </c>
      <c r="C328" s="12" t="s">
        <v>35</v>
      </c>
      <c r="D328" s="4" t="s">
        <v>31</v>
      </c>
      <c r="E328" s="4" t="s">
        <v>17</v>
      </c>
      <c r="F328" s="4" t="s">
        <v>25</v>
      </c>
      <c r="G328" s="5">
        <v>78240</v>
      </c>
      <c r="H328" s="5">
        <v>355934</v>
      </c>
      <c r="I328" s="4">
        <v>68</v>
      </c>
      <c r="J328" s="4">
        <v>0.97</v>
      </c>
      <c r="K328" s="4">
        <v>6.29</v>
      </c>
      <c r="L328" s="4">
        <v>1.2</v>
      </c>
      <c r="M328" s="4">
        <v>2</v>
      </c>
      <c r="N328" s="4">
        <v>520</v>
      </c>
      <c r="O328" s="4" t="str">
        <f t="shared" si="10"/>
        <v>Discount</v>
      </c>
      <c r="P328" s="5">
        <f t="shared" si="11"/>
        <v>70416</v>
      </c>
    </row>
    <row r="329" spans="1:16" x14ac:dyDescent="0.25">
      <c r="A329" s="4">
        <v>2015</v>
      </c>
      <c r="B329" s="4">
        <v>10</v>
      </c>
      <c r="C329" s="12" t="s">
        <v>34</v>
      </c>
      <c r="D329" s="4" t="s">
        <v>20</v>
      </c>
      <c r="E329" s="4" t="s">
        <v>14</v>
      </c>
      <c r="F329" s="4" t="s">
        <v>15</v>
      </c>
      <c r="G329" s="5">
        <v>80760</v>
      </c>
      <c r="H329" s="5">
        <v>380724</v>
      </c>
      <c r="I329" s="4">
        <v>362</v>
      </c>
      <c r="J329" s="4">
        <v>0.97</v>
      </c>
      <c r="K329" s="4">
        <v>6.29</v>
      </c>
      <c r="L329" s="4">
        <v>1.2</v>
      </c>
      <c r="M329" s="4">
        <v>1</v>
      </c>
      <c r="N329" s="4">
        <v>961</v>
      </c>
      <c r="O329" s="4" t="str">
        <f t="shared" si="10"/>
        <v>Discount</v>
      </c>
      <c r="P329" s="5">
        <f t="shared" si="11"/>
        <v>72684</v>
      </c>
    </row>
    <row r="330" spans="1:16" x14ac:dyDescent="0.25">
      <c r="A330" s="4">
        <v>2023</v>
      </c>
      <c r="B330" s="4">
        <v>9</v>
      </c>
      <c r="C330" s="12" t="s">
        <v>36</v>
      </c>
      <c r="D330" s="4" t="s">
        <v>29</v>
      </c>
      <c r="E330" s="4" t="s">
        <v>18</v>
      </c>
      <c r="F330" s="4" t="s">
        <v>21</v>
      </c>
      <c r="G330" s="5">
        <v>56042</v>
      </c>
      <c r="H330" s="5">
        <v>55636</v>
      </c>
      <c r="I330" s="4">
        <v>108</v>
      </c>
      <c r="J330" s="4">
        <v>0.97</v>
      </c>
      <c r="K330" s="4">
        <v>6.29</v>
      </c>
      <c r="L330" s="4">
        <v>1.2</v>
      </c>
      <c r="M330" s="4">
        <v>4</v>
      </c>
      <c r="N330" s="4">
        <v>552</v>
      </c>
      <c r="O330" s="4" t="str">
        <f t="shared" si="10"/>
        <v>EMI</v>
      </c>
      <c r="P330" s="5">
        <f t="shared" si="11"/>
        <v>56714.504000000001</v>
      </c>
    </row>
    <row r="331" spans="1:16" x14ac:dyDescent="0.25">
      <c r="A331" s="4">
        <v>2020</v>
      </c>
      <c r="B331" s="4">
        <v>7</v>
      </c>
      <c r="C331" s="12" t="s">
        <v>28</v>
      </c>
      <c r="D331" s="4" t="s">
        <v>31</v>
      </c>
      <c r="E331" s="4" t="s">
        <v>14</v>
      </c>
      <c r="F331" s="4" t="s">
        <v>18</v>
      </c>
      <c r="G331" s="5">
        <v>78894</v>
      </c>
      <c r="H331" s="5">
        <v>311578</v>
      </c>
      <c r="I331" s="4">
        <v>368</v>
      </c>
      <c r="J331" s="4">
        <v>0.97</v>
      </c>
      <c r="K331" s="4">
        <v>6.29</v>
      </c>
      <c r="L331" s="4">
        <v>1.2</v>
      </c>
      <c r="M331" s="4">
        <v>7</v>
      </c>
      <c r="N331" s="4">
        <v>1150</v>
      </c>
      <c r="O331" s="4" t="str">
        <f t="shared" si="10"/>
        <v>EMI</v>
      </c>
      <c r="P331" s="5">
        <f t="shared" si="11"/>
        <v>79840.728000000003</v>
      </c>
    </row>
    <row r="332" spans="1:16" x14ac:dyDescent="0.25">
      <c r="A332" s="4">
        <v>2021</v>
      </c>
      <c r="B332" s="4">
        <v>1</v>
      </c>
      <c r="C332" s="12" t="s">
        <v>28</v>
      </c>
      <c r="D332" s="4" t="s">
        <v>32</v>
      </c>
      <c r="E332" s="4" t="s">
        <v>18</v>
      </c>
      <c r="F332" s="4" t="s">
        <v>18</v>
      </c>
      <c r="G332" s="5">
        <v>41869</v>
      </c>
      <c r="H332" s="5">
        <v>389273</v>
      </c>
      <c r="I332" s="4">
        <v>11</v>
      </c>
      <c r="J332" s="4">
        <v>0.97</v>
      </c>
      <c r="K332" s="4">
        <v>6.29</v>
      </c>
      <c r="L332" s="4">
        <v>1.2</v>
      </c>
      <c r="M332" s="4">
        <v>10</v>
      </c>
      <c r="N332" s="4">
        <v>361</v>
      </c>
      <c r="O332" s="4" t="str">
        <f t="shared" si="10"/>
        <v>EMI</v>
      </c>
      <c r="P332" s="5">
        <f t="shared" si="11"/>
        <v>42371.428</v>
      </c>
    </row>
    <row r="333" spans="1:16" x14ac:dyDescent="0.25">
      <c r="A333" s="4">
        <v>2024</v>
      </c>
      <c r="B333" s="4">
        <v>12</v>
      </c>
      <c r="C333" s="12" t="s">
        <v>30</v>
      </c>
      <c r="D333" s="4" t="s">
        <v>20</v>
      </c>
      <c r="E333" s="4" t="s">
        <v>18</v>
      </c>
      <c r="F333" s="4" t="s">
        <v>21</v>
      </c>
      <c r="G333" s="5">
        <v>96078</v>
      </c>
      <c r="H333" s="5">
        <v>446108</v>
      </c>
      <c r="I333" s="4">
        <v>252</v>
      </c>
      <c r="J333" s="4">
        <v>0.97</v>
      </c>
      <c r="K333" s="4">
        <v>6.29</v>
      </c>
      <c r="L333" s="4">
        <v>1.2</v>
      </c>
      <c r="M333" s="4">
        <v>6</v>
      </c>
      <c r="N333" s="4">
        <v>630</v>
      </c>
      <c r="O333" s="4" t="str">
        <f t="shared" si="10"/>
        <v>EMI</v>
      </c>
      <c r="P333" s="5">
        <f t="shared" si="11"/>
        <v>97230.936000000002</v>
      </c>
    </row>
    <row r="334" spans="1:16" x14ac:dyDescent="0.25">
      <c r="A334" s="4">
        <v>2021</v>
      </c>
      <c r="B334" s="4">
        <v>8</v>
      </c>
      <c r="C334" s="12" t="s">
        <v>28</v>
      </c>
      <c r="D334" s="4" t="s">
        <v>31</v>
      </c>
      <c r="E334" s="4" t="s">
        <v>18</v>
      </c>
      <c r="F334" s="4" t="s">
        <v>21</v>
      </c>
      <c r="G334" s="5">
        <v>91759</v>
      </c>
      <c r="H334" s="5">
        <v>333816</v>
      </c>
      <c r="I334" s="4">
        <v>306</v>
      </c>
      <c r="J334" s="4">
        <v>0.97</v>
      </c>
      <c r="K334" s="4">
        <v>6.29</v>
      </c>
      <c r="L334" s="4">
        <v>1.2</v>
      </c>
      <c r="M334" s="4">
        <v>6</v>
      </c>
      <c r="N334" s="4">
        <v>876</v>
      </c>
      <c r="O334" s="4" t="str">
        <f t="shared" si="10"/>
        <v>EMI</v>
      </c>
      <c r="P334" s="5">
        <f t="shared" si="11"/>
        <v>92860.108000000007</v>
      </c>
    </row>
    <row r="335" spans="1:16" x14ac:dyDescent="0.25">
      <c r="A335" s="4">
        <v>2024</v>
      </c>
      <c r="B335" s="4">
        <v>3</v>
      </c>
      <c r="C335" s="12" t="s">
        <v>34</v>
      </c>
      <c r="D335" s="4" t="s">
        <v>13</v>
      </c>
      <c r="E335" s="4" t="s">
        <v>14</v>
      </c>
      <c r="F335" s="4" t="s">
        <v>21</v>
      </c>
      <c r="G335" s="5">
        <v>79306</v>
      </c>
      <c r="H335" s="5">
        <v>317956</v>
      </c>
      <c r="I335" s="4">
        <v>220</v>
      </c>
      <c r="J335" s="4">
        <v>0.97</v>
      </c>
      <c r="K335" s="4">
        <v>6.29</v>
      </c>
      <c r="L335" s="4">
        <v>1.2</v>
      </c>
      <c r="M335" s="4">
        <v>9</v>
      </c>
      <c r="N335" s="4">
        <v>525</v>
      </c>
      <c r="O335" s="4" t="str">
        <f t="shared" si="10"/>
        <v>EMI</v>
      </c>
      <c r="P335" s="5">
        <f t="shared" si="11"/>
        <v>80257.672000000006</v>
      </c>
    </row>
    <row r="336" spans="1:16" x14ac:dyDescent="0.25">
      <c r="A336" s="4">
        <v>2017</v>
      </c>
      <c r="B336" s="4">
        <v>8</v>
      </c>
      <c r="C336" s="12" t="s">
        <v>33</v>
      </c>
      <c r="D336" s="4" t="s">
        <v>27</v>
      </c>
      <c r="E336" s="4" t="s">
        <v>18</v>
      </c>
      <c r="F336" s="4" t="s">
        <v>21</v>
      </c>
      <c r="G336" s="5">
        <v>90371</v>
      </c>
      <c r="H336" s="5">
        <v>277693</v>
      </c>
      <c r="I336" s="4">
        <v>132</v>
      </c>
      <c r="J336" s="4">
        <v>0.97</v>
      </c>
      <c r="K336" s="4">
        <v>6.29</v>
      </c>
      <c r="L336" s="4">
        <v>1.2</v>
      </c>
      <c r="M336" s="4">
        <v>2</v>
      </c>
      <c r="N336" s="4">
        <v>718</v>
      </c>
      <c r="O336" s="4" t="str">
        <f t="shared" si="10"/>
        <v>Full</v>
      </c>
      <c r="P336" s="5">
        <f t="shared" si="11"/>
        <v>90371</v>
      </c>
    </row>
    <row r="337" spans="1:16" x14ac:dyDescent="0.25">
      <c r="A337" s="4">
        <v>2016</v>
      </c>
      <c r="B337" s="4">
        <v>5</v>
      </c>
      <c r="C337" s="12" t="s">
        <v>23</v>
      </c>
      <c r="D337" s="4" t="s">
        <v>31</v>
      </c>
      <c r="E337" s="4" t="s">
        <v>18</v>
      </c>
      <c r="F337" s="4" t="s">
        <v>21</v>
      </c>
      <c r="G337" s="5">
        <v>55918</v>
      </c>
      <c r="H337" s="5">
        <v>50654</v>
      </c>
      <c r="I337" s="4">
        <v>238</v>
      </c>
      <c r="J337" s="4">
        <v>0.97</v>
      </c>
      <c r="K337" s="4">
        <v>6.29</v>
      </c>
      <c r="L337" s="4">
        <v>1.2</v>
      </c>
      <c r="M337" s="4">
        <v>4</v>
      </c>
      <c r="N337" s="4">
        <v>680</v>
      </c>
      <c r="O337" s="4" t="str">
        <f t="shared" si="10"/>
        <v>EMI</v>
      </c>
      <c r="P337" s="5">
        <f t="shared" si="11"/>
        <v>56589.016000000003</v>
      </c>
    </row>
    <row r="338" spans="1:16" x14ac:dyDescent="0.25">
      <c r="A338" s="4">
        <v>2023</v>
      </c>
      <c r="B338" s="4">
        <v>1</v>
      </c>
      <c r="C338" s="12" t="s">
        <v>34</v>
      </c>
      <c r="D338" s="4" t="s">
        <v>22</v>
      </c>
      <c r="E338" s="4" t="s">
        <v>14</v>
      </c>
      <c r="F338" s="4" t="s">
        <v>21</v>
      </c>
      <c r="G338" s="5">
        <v>63379</v>
      </c>
      <c r="H338" s="5">
        <v>104633</v>
      </c>
      <c r="I338" s="4">
        <v>91</v>
      </c>
      <c r="J338" s="4">
        <v>0.97</v>
      </c>
      <c r="K338" s="4">
        <v>6.29</v>
      </c>
      <c r="L338" s="4">
        <v>1.2</v>
      </c>
      <c r="M338" s="4">
        <v>5</v>
      </c>
      <c r="N338" s="4">
        <v>466</v>
      </c>
      <c r="O338" s="4" t="str">
        <f t="shared" si="10"/>
        <v>EMI</v>
      </c>
      <c r="P338" s="5">
        <f t="shared" si="11"/>
        <v>64139.548000000003</v>
      </c>
    </row>
    <row r="339" spans="1:16" x14ac:dyDescent="0.25">
      <c r="A339" s="4">
        <v>2022</v>
      </c>
      <c r="B339" s="4">
        <v>7</v>
      </c>
      <c r="C339" s="12" t="s">
        <v>34</v>
      </c>
      <c r="D339" s="4" t="s">
        <v>16</v>
      </c>
      <c r="E339" s="4" t="s">
        <v>18</v>
      </c>
      <c r="F339" s="4" t="s">
        <v>18</v>
      </c>
      <c r="G339" s="5">
        <v>118232</v>
      </c>
      <c r="H339" s="5">
        <v>67143</v>
      </c>
      <c r="I339" s="4">
        <v>153</v>
      </c>
      <c r="J339" s="4">
        <v>0.97</v>
      </c>
      <c r="K339" s="4">
        <v>6.29</v>
      </c>
      <c r="L339" s="4">
        <v>1.2</v>
      </c>
      <c r="M339" s="4">
        <v>1</v>
      </c>
      <c r="N339" s="4">
        <v>497</v>
      </c>
      <c r="O339" s="4" t="str">
        <f t="shared" si="10"/>
        <v>Full</v>
      </c>
      <c r="P339" s="5">
        <f t="shared" si="11"/>
        <v>118232</v>
      </c>
    </row>
    <row r="340" spans="1:16" x14ac:dyDescent="0.25">
      <c r="A340" s="4">
        <v>2024</v>
      </c>
      <c r="B340" s="4">
        <v>5</v>
      </c>
      <c r="C340" s="12" t="s">
        <v>12</v>
      </c>
      <c r="D340" s="4" t="s">
        <v>13</v>
      </c>
      <c r="E340" s="4" t="s">
        <v>14</v>
      </c>
      <c r="F340" s="4" t="s">
        <v>21</v>
      </c>
      <c r="G340" s="5">
        <v>37962</v>
      </c>
      <c r="H340" s="5">
        <v>105934</v>
      </c>
      <c r="I340" s="4">
        <v>397</v>
      </c>
      <c r="J340" s="4">
        <v>0.97</v>
      </c>
      <c r="K340" s="4">
        <v>6.29</v>
      </c>
      <c r="L340" s="4">
        <v>1.2</v>
      </c>
      <c r="M340" s="4">
        <v>8</v>
      </c>
      <c r="N340" s="4">
        <v>893</v>
      </c>
      <c r="O340" s="4" t="str">
        <f t="shared" si="10"/>
        <v>EMI</v>
      </c>
      <c r="P340" s="5">
        <f t="shared" si="11"/>
        <v>38417.544000000002</v>
      </c>
    </row>
    <row r="341" spans="1:16" x14ac:dyDescent="0.25">
      <c r="A341" s="4">
        <v>2021</v>
      </c>
      <c r="B341" s="4">
        <v>6</v>
      </c>
      <c r="C341" s="12" t="s">
        <v>23</v>
      </c>
      <c r="D341" s="4" t="s">
        <v>29</v>
      </c>
      <c r="E341" s="4" t="s">
        <v>18</v>
      </c>
      <c r="F341" s="4" t="s">
        <v>15</v>
      </c>
      <c r="G341" s="5">
        <v>48851</v>
      </c>
      <c r="H341" s="5">
        <v>379478</v>
      </c>
      <c r="I341" s="4">
        <v>149</v>
      </c>
      <c r="J341" s="4">
        <v>0.97</v>
      </c>
      <c r="K341" s="4">
        <v>6.29</v>
      </c>
      <c r="L341" s="4">
        <v>1.2</v>
      </c>
      <c r="M341" s="4">
        <v>8</v>
      </c>
      <c r="N341" s="4">
        <v>347</v>
      </c>
      <c r="O341" s="4" t="str">
        <f t="shared" si="10"/>
        <v>EMI</v>
      </c>
      <c r="P341" s="5">
        <f t="shared" si="11"/>
        <v>49437.212</v>
      </c>
    </row>
    <row r="342" spans="1:16" x14ac:dyDescent="0.25">
      <c r="A342" s="4">
        <v>2023</v>
      </c>
      <c r="B342" s="4">
        <v>6</v>
      </c>
      <c r="C342" s="12" t="s">
        <v>36</v>
      </c>
      <c r="D342" s="4" t="s">
        <v>29</v>
      </c>
      <c r="E342" s="4" t="s">
        <v>17</v>
      </c>
      <c r="F342" s="4" t="s">
        <v>21</v>
      </c>
      <c r="G342" s="5">
        <v>80747</v>
      </c>
      <c r="H342" s="5">
        <v>153463</v>
      </c>
      <c r="I342" s="4">
        <v>38</v>
      </c>
      <c r="J342" s="4">
        <v>0.97</v>
      </c>
      <c r="K342" s="4">
        <v>6.29</v>
      </c>
      <c r="L342" s="4">
        <v>1.2</v>
      </c>
      <c r="M342" s="4">
        <v>6</v>
      </c>
      <c r="N342" s="4">
        <v>158</v>
      </c>
      <c r="O342" s="4" t="str">
        <f t="shared" si="10"/>
        <v>EMI</v>
      </c>
      <c r="P342" s="5">
        <f t="shared" si="11"/>
        <v>81715.964000000007</v>
      </c>
    </row>
    <row r="343" spans="1:16" x14ac:dyDescent="0.25">
      <c r="A343" s="4">
        <v>2018</v>
      </c>
      <c r="B343" s="4">
        <v>8</v>
      </c>
      <c r="C343" s="12" t="s">
        <v>28</v>
      </c>
      <c r="D343" s="4" t="s">
        <v>29</v>
      </c>
      <c r="E343" s="4" t="s">
        <v>17</v>
      </c>
      <c r="F343" s="4" t="s">
        <v>21</v>
      </c>
      <c r="G343" s="5">
        <v>87349</v>
      </c>
      <c r="H343" s="5">
        <v>175851</v>
      </c>
      <c r="I343" s="4">
        <v>279</v>
      </c>
      <c r="J343" s="4">
        <v>0.97</v>
      </c>
      <c r="K343" s="4">
        <v>6.29</v>
      </c>
      <c r="L343" s="4">
        <v>1.2</v>
      </c>
      <c r="M343" s="4">
        <v>5</v>
      </c>
      <c r="N343" s="4">
        <v>701</v>
      </c>
      <c r="O343" s="4" t="str">
        <f t="shared" si="10"/>
        <v>EMI</v>
      </c>
      <c r="P343" s="5">
        <f t="shared" si="11"/>
        <v>88397.187999999995</v>
      </c>
    </row>
    <row r="344" spans="1:16" x14ac:dyDescent="0.25">
      <c r="A344" s="4">
        <v>2018</v>
      </c>
      <c r="B344" s="4">
        <v>9</v>
      </c>
      <c r="C344" s="12" t="s">
        <v>23</v>
      </c>
      <c r="D344" s="4" t="s">
        <v>29</v>
      </c>
      <c r="E344" s="4" t="s">
        <v>18</v>
      </c>
      <c r="F344" s="4" t="s">
        <v>18</v>
      </c>
      <c r="G344" s="5">
        <v>105832</v>
      </c>
      <c r="H344" s="5">
        <v>79087</v>
      </c>
      <c r="I344" s="4">
        <v>256</v>
      </c>
      <c r="J344" s="4">
        <v>0.97</v>
      </c>
      <c r="K344" s="4">
        <v>6.29</v>
      </c>
      <c r="L344" s="4">
        <v>1.2</v>
      </c>
      <c r="M344" s="4">
        <v>8</v>
      </c>
      <c r="N344" s="4">
        <v>657</v>
      </c>
      <c r="O344" s="4" t="str">
        <f t="shared" si="10"/>
        <v>EMI</v>
      </c>
      <c r="P344" s="5">
        <f t="shared" si="11"/>
        <v>107101.984</v>
      </c>
    </row>
    <row r="345" spans="1:16" x14ac:dyDescent="0.25">
      <c r="A345" s="4">
        <v>2015</v>
      </c>
      <c r="B345" s="4">
        <v>2</v>
      </c>
      <c r="C345" s="12" t="s">
        <v>28</v>
      </c>
      <c r="D345" s="4" t="s">
        <v>16</v>
      </c>
      <c r="E345" s="4" t="s">
        <v>17</v>
      </c>
      <c r="F345" s="4" t="s">
        <v>18</v>
      </c>
      <c r="G345" s="5">
        <v>91356</v>
      </c>
      <c r="H345" s="5">
        <v>192690</v>
      </c>
      <c r="I345" s="4">
        <v>21</v>
      </c>
      <c r="J345" s="4">
        <v>0.97</v>
      </c>
      <c r="K345" s="4">
        <v>6.29</v>
      </c>
      <c r="L345" s="4">
        <v>1.2</v>
      </c>
      <c r="M345" s="4">
        <v>3</v>
      </c>
      <c r="N345" s="4">
        <v>306</v>
      </c>
      <c r="O345" s="4" t="str">
        <f t="shared" si="10"/>
        <v>EMI</v>
      </c>
      <c r="P345" s="5">
        <f t="shared" si="11"/>
        <v>92452.271999999997</v>
      </c>
    </row>
    <row r="346" spans="1:16" x14ac:dyDescent="0.25">
      <c r="A346" s="4">
        <v>2022</v>
      </c>
      <c r="B346" s="4">
        <v>9</v>
      </c>
      <c r="C346" s="12" t="s">
        <v>30</v>
      </c>
      <c r="D346" s="4" t="s">
        <v>31</v>
      </c>
      <c r="E346" s="4" t="s">
        <v>14</v>
      </c>
      <c r="F346" s="4" t="s">
        <v>21</v>
      </c>
      <c r="G346" s="5">
        <v>49745</v>
      </c>
      <c r="H346" s="5">
        <v>320590</v>
      </c>
      <c r="I346" s="4">
        <v>364</v>
      </c>
      <c r="J346" s="4">
        <v>0.97</v>
      </c>
      <c r="K346" s="4">
        <v>6.29</v>
      </c>
      <c r="L346" s="4">
        <v>1.2</v>
      </c>
      <c r="M346" s="4">
        <v>3</v>
      </c>
      <c r="N346" s="4">
        <v>958</v>
      </c>
      <c r="O346" s="4" t="str">
        <f t="shared" si="10"/>
        <v>EMI</v>
      </c>
      <c r="P346" s="5">
        <f t="shared" si="11"/>
        <v>50341.94</v>
      </c>
    </row>
    <row r="347" spans="1:16" x14ac:dyDescent="0.25">
      <c r="A347" s="4">
        <v>2017</v>
      </c>
      <c r="B347" s="4">
        <v>12</v>
      </c>
      <c r="C347" s="12" t="s">
        <v>23</v>
      </c>
      <c r="D347" s="4" t="s">
        <v>24</v>
      </c>
      <c r="E347" s="4" t="s">
        <v>17</v>
      </c>
      <c r="F347" s="4" t="s">
        <v>18</v>
      </c>
      <c r="G347" s="5">
        <v>40730</v>
      </c>
      <c r="H347" s="5">
        <v>414271</v>
      </c>
      <c r="I347" s="4">
        <v>398</v>
      </c>
      <c r="J347" s="4">
        <v>0.97</v>
      </c>
      <c r="K347" s="4">
        <v>6.29</v>
      </c>
      <c r="L347" s="4">
        <v>1.2</v>
      </c>
      <c r="M347" s="4">
        <v>2</v>
      </c>
      <c r="N347" s="4">
        <v>1096</v>
      </c>
      <c r="O347" s="4" t="str">
        <f t="shared" si="10"/>
        <v>Discount</v>
      </c>
      <c r="P347" s="5">
        <f t="shared" si="11"/>
        <v>36657</v>
      </c>
    </row>
    <row r="348" spans="1:16" x14ac:dyDescent="0.25">
      <c r="A348" s="4">
        <v>2021</v>
      </c>
      <c r="B348" s="4">
        <v>11</v>
      </c>
      <c r="C348" s="12" t="s">
        <v>28</v>
      </c>
      <c r="D348" s="4" t="s">
        <v>31</v>
      </c>
      <c r="E348" s="4" t="s">
        <v>18</v>
      </c>
      <c r="F348" s="4" t="s">
        <v>25</v>
      </c>
      <c r="G348" s="5">
        <v>48921</v>
      </c>
      <c r="H348" s="5">
        <v>361011</v>
      </c>
      <c r="I348" s="4">
        <v>346</v>
      </c>
      <c r="J348" s="4">
        <v>0.97</v>
      </c>
      <c r="K348" s="4">
        <v>6.29</v>
      </c>
      <c r="L348" s="4">
        <v>1.2</v>
      </c>
      <c r="M348" s="4">
        <v>5</v>
      </c>
      <c r="N348" s="4">
        <v>1086</v>
      </c>
      <c r="O348" s="4" t="str">
        <f t="shared" si="10"/>
        <v>EMI</v>
      </c>
      <c r="P348" s="5">
        <f t="shared" si="11"/>
        <v>49508.052000000003</v>
      </c>
    </row>
    <row r="349" spans="1:16" x14ac:dyDescent="0.25">
      <c r="A349" s="4">
        <v>2016</v>
      </c>
      <c r="B349" s="4">
        <v>10</v>
      </c>
      <c r="C349" s="12" t="s">
        <v>36</v>
      </c>
      <c r="D349" s="4" t="s">
        <v>32</v>
      </c>
      <c r="E349" s="4" t="s">
        <v>18</v>
      </c>
      <c r="F349" s="4" t="s">
        <v>18</v>
      </c>
      <c r="G349" s="5">
        <v>106138</v>
      </c>
      <c r="H349" s="5">
        <v>494244</v>
      </c>
      <c r="I349" s="4">
        <v>115</v>
      </c>
      <c r="J349" s="4">
        <v>0.97</v>
      </c>
      <c r="K349" s="4">
        <v>6.29</v>
      </c>
      <c r="L349" s="4">
        <v>1.2</v>
      </c>
      <c r="M349" s="4">
        <v>3</v>
      </c>
      <c r="N349" s="4">
        <v>647</v>
      </c>
      <c r="O349" s="4" t="str">
        <f t="shared" si="10"/>
        <v>EMI</v>
      </c>
      <c r="P349" s="5">
        <f t="shared" si="11"/>
        <v>107411.656</v>
      </c>
    </row>
    <row r="350" spans="1:16" x14ac:dyDescent="0.25">
      <c r="A350" s="4">
        <v>2016</v>
      </c>
      <c r="B350" s="4">
        <v>9</v>
      </c>
      <c r="C350" s="12" t="s">
        <v>19</v>
      </c>
      <c r="D350" s="4" t="s">
        <v>27</v>
      </c>
      <c r="E350" s="4" t="s">
        <v>14</v>
      </c>
      <c r="F350" s="4" t="s">
        <v>18</v>
      </c>
      <c r="G350" s="5">
        <v>118111</v>
      </c>
      <c r="H350" s="5">
        <v>372245</v>
      </c>
      <c r="I350" s="4">
        <v>41</v>
      </c>
      <c r="J350" s="4">
        <v>0.97</v>
      </c>
      <c r="K350" s="4">
        <v>6.29</v>
      </c>
      <c r="L350" s="4">
        <v>1.2</v>
      </c>
      <c r="M350" s="4">
        <v>3</v>
      </c>
      <c r="N350" s="4">
        <v>290</v>
      </c>
      <c r="O350" s="4" t="str">
        <f t="shared" si="10"/>
        <v>EMI</v>
      </c>
      <c r="P350" s="5">
        <f t="shared" si="11"/>
        <v>119528.33199999999</v>
      </c>
    </row>
    <row r="351" spans="1:16" x14ac:dyDescent="0.25">
      <c r="A351" s="4">
        <v>2021</v>
      </c>
      <c r="B351" s="4">
        <v>10</v>
      </c>
      <c r="C351" s="12" t="s">
        <v>26</v>
      </c>
      <c r="D351" s="4" t="s">
        <v>20</v>
      </c>
      <c r="E351" s="4" t="s">
        <v>18</v>
      </c>
      <c r="F351" s="4" t="s">
        <v>18</v>
      </c>
      <c r="G351" s="5">
        <v>54023</v>
      </c>
      <c r="H351" s="5">
        <v>208272</v>
      </c>
      <c r="I351" s="4">
        <v>83</v>
      </c>
      <c r="J351" s="4">
        <v>0.97</v>
      </c>
      <c r="K351" s="4">
        <v>6.29</v>
      </c>
      <c r="L351" s="4">
        <v>1.2</v>
      </c>
      <c r="M351" s="4">
        <v>6</v>
      </c>
      <c r="N351" s="4">
        <v>475</v>
      </c>
      <c r="O351" s="4" t="str">
        <f t="shared" si="10"/>
        <v>EMI</v>
      </c>
      <c r="P351" s="5">
        <f t="shared" si="11"/>
        <v>54671.275999999998</v>
      </c>
    </row>
    <row r="352" spans="1:16" x14ac:dyDescent="0.25">
      <c r="A352" s="4">
        <v>2020</v>
      </c>
      <c r="B352" s="4">
        <v>10</v>
      </c>
      <c r="C352" s="12" t="s">
        <v>26</v>
      </c>
      <c r="D352" s="4" t="s">
        <v>24</v>
      </c>
      <c r="E352" s="4" t="s">
        <v>14</v>
      </c>
      <c r="F352" s="4" t="s">
        <v>18</v>
      </c>
      <c r="G352" s="5">
        <v>80349</v>
      </c>
      <c r="H352" s="5">
        <v>276179</v>
      </c>
      <c r="I352" s="4">
        <v>180</v>
      </c>
      <c r="J352" s="4">
        <v>0.97</v>
      </c>
      <c r="K352" s="4">
        <v>6.29</v>
      </c>
      <c r="L352" s="4">
        <v>1.2</v>
      </c>
      <c r="M352" s="4">
        <v>8</v>
      </c>
      <c r="N352" s="4">
        <v>521</v>
      </c>
      <c r="O352" s="4" t="str">
        <f t="shared" si="10"/>
        <v>EMI</v>
      </c>
      <c r="P352" s="5">
        <f t="shared" si="11"/>
        <v>81313.187999999995</v>
      </c>
    </row>
    <row r="353" spans="1:16" x14ac:dyDescent="0.25">
      <c r="A353" s="4">
        <v>2017</v>
      </c>
      <c r="B353" s="4">
        <v>7</v>
      </c>
      <c r="C353" s="12" t="s">
        <v>36</v>
      </c>
      <c r="D353" s="4" t="s">
        <v>24</v>
      </c>
      <c r="E353" s="4" t="s">
        <v>17</v>
      </c>
      <c r="F353" s="4" t="s">
        <v>15</v>
      </c>
      <c r="G353" s="5">
        <v>116533</v>
      </c>
      <c r="H353" s="5">
        <v>400218</v>
      </c>
      <c r="I353" s="4">
        <v>346</v>
      </c>
      <c r="J353" s="4">
        <v>0.97</v>
      </c>
      <c r="K353" s="4">
        <v>6.29</v>
      </c>
      <c r="L353" s="4">
        <v>1.2</v>
      </c>
      <c r="M353" s="4">
        <v>2</v>
      </c>
      <c r="N353" s="4">
        <v>1019</v>
      </c>
      <c r="O353" s="4" t="str">
        <f t="shared" si="10"/>
        <v>Discount</v>
      </c>
      <c r="P353" s="5">
        <f t="shared" si="11"/>
        <v>104879.7</v>
      </c>
    </row>
    <row r="354" spans="1:16" x14ac:dyDescent="0.25">
      <c r="A354" s="4">
        <v>2023</v>
      </c>
      <c r="B354" s="4">
        <v>1</v>
      </c>
      <c r="C354" s="12" t="s">
        <v>12</v>
      </c>
      <c r="D354" s="4" t="s">
        <v>31</v>
      </c>
      <c r="E354" s="4" t="s">
        <v>17</v>
      </c>
      <c r="F354" s="4" t="s">
        <v>15</v>
      </c>
      <c r="G354" s="5">
        <v>118286</v>
      </c>
      <c r="H354" s="5">
        <v>242537</v>
      </c>
      <c r="I354" s="4">
        <v>78</v>
      </c>
      <c r="J354" s="4">
        <v>0.97</v>
      </c>
      <c r="K354" s="4">
        <v>6.29</v>
      </c>
      <c r="L354" s="4">
        <v>1.2</v>
      </c>
      <c r="M354" s="4">
        <v>4</v>
      </c>
      <c r="N354" s="4">
        <v>421</v>
      </c>
      <c r="O354" s="4" t="str">
        <f t="shared" si="10"/>
        <v>EMI</v>
      </c>
      <c r="P354" s="5">
        <f t="shared" si="11"/>
        <v>119705.432</v>
      </c>
    </row>
    <row r="355" spans="1:16" x14ac:dyDescent="0.25">
      <c r="A355" s="4">
        <v>2024</v>
      </c>
      <c r="B355" s="4">
        <v>7</v>
      </c>
      <c r="C355" s="12" t="s">
        <v>19</v>
      </c>
      <c r="D355" s="4" t="s">
        <v>24</v>
      </c>
      <c r="E355" s="4" t="s">
        <v>14</v>
      </c>
      <c r="F355" s="4" t="s">
        <v>15</v>
      </c>
      <c r="G355" s="5">
        <v>76979</v>
      </c>
      <c r="H355" s="5">
        <v>267508</v>
      </c>
      <c r="I355" s="4">
        <v>310</v>
      </c>
      <c r="J355" s="4">
        <v>0.97</v>
      </c>
      <c r="K355" s="4">
        <v>6.29</v>
      </c>
      <c r="L355" s="4">
        <v>1.2</v>
      </c>
      <c r="M355" s="4">
        <v>7</v>
      </c>
      <c r="N355" s="4">
        <v>630</v>
      </c>
      <c r="O355" s="4" t="str">
        <f t="shared" si="10"/>
        <v>EMI</v>
      </c>
      <c r="P355" s="5">
        <f t="shared" si="11"/>
        <v>77902.748000000007</v>
      </c>
    </row>
    <row r="356" spans="1:16" x14ac:dyDescent="0.25">
      <c r="A356" s="4">
        <v>2020</v>
      </c>
      <c r="B356" s="4">
        <v>10</v>
      </c>
      <c r="C356" s="12" t="s">
        <v>30</v>
      </c>
      <c r="D356" s="4" t="s">
        <v>37</v>
      </c>
      <c r="E356" s="4" t="s">
        <v>14</v>
      </c>
      <c r="F356" s="4" t="s">
        <v>21</v>
      </c>
      <c r="G356" s="5">
        <v>57837</v>
      </c>
      <c r="H356" s="5">
        <v>168422</v>
      </c>
      <c r="I356" s="4">
        <v>371</v>
      </c>
      <c r="J356" s="4">
        <v>0.97</v>
      </c>
      <c r="K356" s="4">
        <v>6.29</v>
      </c>
      <c r="L356" s="4">
        <v>1.2</v>
      </c>
      <c r="M356" s="4">
        <v>1</v>
      </c>
      <c r="N356" s="4">
        <v>811</v>
      </c>
      <c r="O356" s="4" t="str">
        <f t="shared" si="10"/>
        <v>Full</v>
      </c>
      <c r="P356" s="5">
        <f t="shared" si="11"/>
        <v>57837</v>
      </c>
    </row>
    <row r="357" spans="1:16" x14ac:dyDescent="0.25">
      <c r="A357" s="4">
        <v>2024</v>
      </c>
      <c r="B357" s="4">
        <v>5</v>
      </c>
      <c r="C357" s="12" t="s">
        <v>36</v>
      </c>
      <c r="D357" s="4" t="s">
        <v>37</v>
      </c>
      <c r="E357" s="4" t="s">
        <v>18</v>
      </c>
      <c r="F357" s="4" t="s">
        <v>21</v>
      </c>
      <c r="G357" s="5">
        <v>49997</v>
      </c>
      <c r="H357" s="5">
        <v>400036</v>
      </c>
      <c r="I357" s="4">
        <v>146</v>
      </c>
      <c r="J357" s="4">
        <v>0.97</v>
      </c>
      <c r="K357" s="4">
        <v>6.29</v>
      </c>
      <c r="L357" s="4">
        <v>1.2</v>
      </c>
      <c r="M357" s="4">
        <v>1</v>
      </c>
      <c r="N357" s="4">
        <v>465</v>
      </c>
      <c r="O357" s="4" t="str">
        <f t="shared" si="10"/>
        <v>Discount</v>
      </c>
      <c r="P357" s="5">
        <f t="shared" si="11"/>
        <v>44997.3</v>
      </c>
    </row>
    <row r="358" spans="1:16" x14ac:dyDescent="0.25">
      <c r="A358" s="4">
        <v>2024</v>
      </c>
      <c r="B358" s="4">
        <v>6</v>
      </c>
      <c r="C358" s="12" t="s">
        <v>26</v>
      </c>
      <c r="D358" s="4" t="s">
        <v>32</v>
      </c>
      <c r="E358" s="4" t="s">
        <v>17</v>
      </c>
      <c r="F358" s="4" t="s">
        <v>25</v>
      </c>
      <c r="G358" s="5">
        <v>80039</v>
      </c>
      <c r="H358" s="5">
        <v>269631</v>
      </c>
      <c r="I358" s="4">
        <v>109</v>
      </c>
      <c r="J358" s="4">
        <v>0.97</v>
      </c>
      <c r="K358" s="4">
        <v>6.29</v>
      </c>
      <c r="L358" s="4">
        <v>1.2</v>
      </c>
      <c r="M358" s="4">
        <v>10</v>
      </c>
      <c r="N358" s="4">
        <v>542</v>
      </c>
      <c r="O358" s="4" t="str">
        <f t="shared" si="10"/>
        <v>EMI</v>
      </c>
      <c r="P358" s="5">
        <f t="shared" si="11"/>
        <v>80999.468000000008</v>
      </c>
    </row>
    <row r="359" spans="1:16" x14ac:dyDescent="0.25">
      <c r="A359" s="4">
        <v>2020</v>
      </c>
      <c r="B359" s="4">
        <v>10</v>
      </c>
      <c r="C359" s="12" t="s">
        <v>26</v>
      </c>
      <c r="D359" s="4" t="s">
        <v>20</v>
      </c>
      <c r="E359" s="4" t="s">
        <v>14</v>
      </c>
      <c r="F359" s="4" t="s">
        <v>15</v>
      </c>
      <c r="G359" s="5">
        <v>55923</v>
      </c>
      <c r="H359" s="5">
        <v>432188</v>
      </c>
      <c r="I359" s="4">
        <v>155</v>
      </c>
      <c r="J359" s="4">
        <v>0.97</v>
      </c>
      <c r="K359" s="4">
        <v>6.29</v>
      </c>
      <c r="L359" s="4">
        <v>1.2</v>
      </c>
      <c r="M359" s="4">
        <v>7</v>
      </c>
      <c r="N359" s="4">
        <v>395</v>
      </c>
      <c r="O359" s="4" t="str">
        <f t="shared" si="10"/>
        <v>EMI</v>
      </c>
      <c r="P359" s="5">
        <f t="shared" si="11"/>
        <v>56594.076000000001</v>
      </c>
    </row>
    <row r="360" spans="1:16" x14ac:dyDescent="0.25">
      <c r="A360" s="4">
        <v>2015</v>
      </c>
      <c r="B360" s="4">
        <v>7</v>
      </c>
      <c r="C360" s="12" t="s">
        <v>26</v>
      </c>
      <c r="D360" s="4" t="s">
        <v>22</v>
      </c>
      <c r="E360" s="4" t="s">
        <v>17</v>
      </c>
      <c r="F360" s="4" t="s">
        <v>21</v>
      </c>
      <c r="G360" s="5">
        <v>43876</v>
      </c>
      <c r="H360" s="5">
        <v>89148</v>
      </c>
      <c r="I360" s="4">
        <v>18</v>
      </c>
      <c r="J360" s="4">
        <v>0.97</v>
      </c>
      <c r="K360" s="4">
        <v>6.29</v>
      </c>
      <c r="L360" s="4">
        <v>1.2</v>
      </c>
      <c r="M360" s="4">
        <v>7</v>
      </c>
      <c r="N360" s="4">
        <v>467</v>
      </c>
      <c r="O360" s="4" t="str">
        <f t="shared" si="10"/>
        <v>EMI</v>
      </c>
      <c r="P360" s="5">
        <f t="shared" si="11"/>
        <v>44402.512000000002</v>
      </c>
    </row>
    <row r="361" spans="1:16" x14ac:dyDescent="0.25">
      <c r="A361" s="4">
        <v>2018</v>
      </c>
      <c r="B361" s="4">
        <v>5</v>
      </c>
      <c r="C361" s="12" t="s">
        <v>35</v>
      </c>
      <c r="D361" s="4" t="s">
        <v>16</v>
      </c>
      <c r="E361" s="4" t="s">
        <v>14</v>
      </c>
      <c r="F361" s="4" t="s">
        <v>18</v>
      </c>
      <c r="G361" s="5">
        <v>95973</v>
      </c>
      <c r="H361" s="5">
        <v>395072</v>
      </c>
      <c r="I361" s="4">
        <v>71</v>
      </c>
      <c r="J361" s="4">
        <v>0.97</v>
      </c>
      <c r="K361" s="4">
        <v>6.29</v>
      </c>
      <c r="L361" s="4">
        <v>1.2</v>
      </c>
      <c r="M361" s="4">
        <v>1</v>
      </c>
      <c r="N361" s="4">
        <v>536</v>
      </c>
      <c r="O361" s="4" t="str">
        <f t="shared" si="10"/>
        <v>Discount</v>
      </c>
      <c r="P361" s="5">
        <f t="shared" si="11"/>
        <v>86375.7</v>
      </c>
    </row>
    <row r="362" spans="1:16" x14ac:dyDescent="0.25">
      <c r="A362" s="4">
        <v>2024</v>
      </c>
      <c r="B362" s="4">
        <v>7</v>
      </c>
      <c r="C362" s="12" t="s">
        <v>36</v>
      </c>
      <c r="D362" s="4" t="s">
        <v>31</v>
      </c>
      <c r="E362" s="4" t="s">
        <v>17</v>
      </c>
      <c r="F362" s="4" t="s">
        <v>18</v>
      </c>
      <c r="G362" s="5">
        <v>37887</v>
      </c>
      <c r="H362" s="5">
        <v>201770</v>
      </c>
      <c r="I362" s="4">
        <v>194</v>
      </c>
      <c r="J362" s="4">
        <v>0.97</v>
      </c>
      <c r="K362" s="4">
        <v>6.29</v>
      </c>
      <c r="L362" s="4">
        <v>1.2</v>
      </c>
      <c r="M362" s="4">
        <v>1</v>
      </c>
      <c r="N362" s="4">
        <v>571</v>
      </c>
      <c r="O362" s="4" t="str">
        <f t="shared" si="10"/>
        <v>Full</v>
      </c>
      <c r="P362" s="5">
        <f t="shared" si="11"/>
        <v>37887</v>
      </c>
    </row>
    <row r="363" spans="1:16" x14ac:dyDescent="0.25">
      <c r="A363" s="4">
        <v>2020</v>
      </c>
      <c r="B363" s="4">
        <v>9</v>
      </c>
      <c r="C363" s="12" t="s">
        <v>34</v>
      </c>
      <c r="D363" s="4" t="s">
        <v>16</v>
      </c>
      <c r="E363" s="4" t="s">
        <v>18</v>
      </c>
      <c r="F363" s="4" t="s">
        <v>15</v>
      </c>
      <c r="G363" s="5">
        <v>98723</v>
      </c>
      <c r="H363" s="5">
        <v>485686</v>
      </c>
      <c r="I363" s="4">
        <v>38</v>
      </c>
      <c r="J363" s="4">
        <v>0.97</v>
      </c>
      <c r="K363" s="4">
        <v>6.29</v>
      </c>
      <c r="L363" s="4">
        <v>1.2</v>
      </c>
      <c r="M363" s="4">
        <v>4</v>
      </c>
      <c r="N363" s="4">
        <v>206</v>
      </c>
      <c r="O363" s="4" t="str">
        <f t="shared" si="10"/>
        <v>EMI</v>
      </c>
      <c r="P363" s="5">
        <f t="shared" si="11"/>
        <v>99907.676000000007</v>
      </c>
    </row>
    <row r="364" spans="1:16" x14ac:dyDescent="0.25">
      <c r="A364" s="4">
        <v>2020</v>
      </c>
      <c r="B364" s="4">
        <v>3</v>
      </c>
      <c r="C364" s="12" t="s">
        <v>30</v>
      </c>
      <c r="D364" s="4" t="s">
        <v>22</v>
      </c>
      <c r="E364" s="4" t="s">
        <v>17</v>
      </c>
      <c r="F364" s="4" t="s">
        <v>25</v>
      </c>
      <c r="G364" s="5">
        <v>77422</v>
      </c>
      <c r="H364" s="5">
        <v>363804</v>
      </c>
      <c r="I364" s="4">
        <v>390</v>
      </c>
      <c r="J364" s="4">
        <v>0.97</v>
      </c>
      <c r="K364" s="4">
        <v>6.29</v>
      </c>
      <c r="L364" s="4">
        <v>1.2</v>
      </c>
      <c r="M364" s="4">
        <v>5</v>
      </c>
      <c r="N364" s="4">
        <v>1135</v>
      </c>
      <c r="O364" s="4" t="str">
        <f t="shared" si="10"/>
        <v>EMI</v>
      </c>
      <c r="P364" s="5">
        <f t="shared" si="11"/>
        <v>78351.063999999998</v>
      </c>
    </row>
    <row r="365" spans="1:16" x14ac:dyDescent="0.25">
      <c r="A365" s="4">
        <v>2019</v>
      </c>
      <c r="B365" s="4">
        <v>8</v>
      </c>
      <c r="C365" s="12" t="s">
        <v>26</v>
      </c>
      <c r="D365" s="4" t="s">
        <v>31</v>
      </c>
      <c r="E365" s="4" t="s">
        <v>17</v>
      </c>
      <c r="F365" s="4" t="s">
        <v>25</v>
      </c>
      <c r="G365" s="5">
        <v>86413</v>
      </c>
      <c r="H365" s="5">
        <v>497126</v>
      </c>
      <c r="I365" s="4">
        <v>123</v>
      </c>
      <c r="J365" s="4">
        <v>0.97</v>
      </c>
      <c r="K365" s="4">
        <v>6.29</v>
      </c>
      <c r="L365" s="4">
        <v>1.2</v>
      </c>
      <c r="M365" s="4">
        <v>5</v>
      </c>
      <c r="N365" s="4">
        <v>453</v>
      </c>
      <c r="O365" s="4" t="str">
        <f t="shared" si="10"/>
        <v>EMI</v>
      </c>
      <c r="P365" s="5">
        <f t="shared" si="11"/>
        <v>87449.956000000006</v>
      </c>
    </row>
    <row r="366" spans="1:16" x14ac:dyDescent="0.25">
      <c r="A366" s="4">
        <v>2015</v>
      </c>
      <c r="B366" s="4">
        <v>2</v>
      </c>
      <c r="C366" s="12" t="s">
        <v>28</v>
      </c>
      <c r="D366" s="4" t="s">
        <v>31</v>
      </c>
      <c r="E366" s="4" t="s">
        <v>17</v>
      </c>
      <c r="F366" s="4" t="s">
        <v>18</v>
      </c>
      <c r="G366" s="5">
        <v>37841</v>
      </c>
      <c r="H366" s="5">
        <v>347594</v>
      </c>
      <c r="I366" s="4">
        <v>152</v>
      </c>
      <c r="J366" s="4">
        <v>0.97</v>
      </c>
      <c r="K366" s="4">
        <v>6.29</v>
      </c>
      <c r="L366" s="4">
        <v>1.2</v>
      </c>
      <c r="M366" s="4">
        <v>4</v>
      </c>
      <c r="N366" s="4">
        <v>517</v>
      </c>
      <c r="O366" s="4" t="str">
        <f t="shared" si="10"/>
        <v>EMI</v>
      </c>
      <c r="P366" s="5">
        <f t="shared" si="11"/>
        <v>38295.091999999997</v>
      </c>
    </row>
    <row r="367" spans="1:16" x14ac:dyDescent="0.25">
      <c r="A367" s="4">
        <v>2022</v>
      </c>
      <c r="B367" s="4">
        <v>11</v>
      </c>
      <c r="C367" s="12" t="s">
        <v>36</v>
      </c>
      <c r="D367" s="4" t="s">
        <v>20</v>
      </c>
      <c r="E367" s="4" t="s">
        <v>17</v>
      </c>
      <c r="F367" s="4" t="s">
        <v>25</v>
      </c>
      <c r="G367" s="5">
        <v>63756</v>
      </c>
      <c r="H367" s="5">
        <v>237535</v>
      </c>
      <c r="I367" s="4">
        <v>399</v>
      </c>
      <c r="J367" s="4">
        <v>0.97</v>
      </c>
      <c r="K367" s="4">
        <v>6.29</v>
      </c>
      <c r="L367" s="4">
        <v>1.2</v>
      </c>
      <c r="M367" s="4">
        <v>8</v>
      </c>
      <c r="N367" s="4">
        <v>1137</v>
      </c>
      <c r="O367" s="4" t="str">
        <f t="shared" si="10"/>
        <v>EMI</v>
      </c>
      <c r="P367" s="5">
        <f t="shared" si="11"/>
        <v>64521.072</v>
      </c>
    </row>
    <row r="368" spans="1:16" x14ac:dyDescent="0.25">
      <c r="A368" s="4">
        <v>2019</v>
      </c>
      <c r="B368" s="4">
        <v>7</v>
      </c>
      <c r="C368" s="12" t="s">
        <v>35</v>
      </c>
      <c r="D368" s="4" t="s">
        <v>16</v>
      </c>
      <c r="E368" s="4" t="s">
        <v>17</v>
      </c>
      <c r="F368" s="4" t="s">
        <v>15</v>
      </c>
      <c r="G368" s="5">
        <v>106576</v>
      </c>
      <c r="H368" s="5">
        <v>345901</v>
      </c>
      <c r="I368" s="4">
        <v>129</v>
      </c>
      <c r="J368" s="4">
        <v>0.97</v>
      </c>
      <c r="K368" s="4">
        <v>6.29</v>
      </c>
      <c r="L368" s="4">
        <v>1.2</v>
      </c>
      <c r="M368" s="4">
        <v>7</v>
      </c>
      <c r="N368" s="4">
        <v>539</v>
      </c>
      <c r="O368" s="4" t="str">
        <f t="shared" si="10"/>
        <v>EMI</v>
      </c>
      <c r="P368" s="5">
        <f t="shared" si="11"/>
        <v>107854.912</v>
      </c>
    </row>
    <row r="369" spans="1:16" x14ac:dyDescent="0.25">
      <c r="A369" s="4">
        <v>2019</v>
      </c>
      <c r="B369" s="4">
        <v>2</v>
      </c>
      <c r="C369" s="12" t="s">
        <v>36</v>
      </c>
      <c r="D369" s="4" t="s">
        <v>37</v>
      </c>
      <c r="E369" s="4" t="s">
        <v>18</v>
      </c>
      <c r="F369" s="4" t="s">
        <v>18</v>
      </c>
      <c r="G369" s="5">
        <v>45304</v>
      </c>
      <c r="H369" s="5">
        <v>128012</v>
      </c>
      <c r="I369" s="4">
        <v>179</v>
      </c>
      <c r="J369" s="4">
        <v>0.97</v>
      </c>
      <c r="K369" s="4">
        <v>6.29</v>
      </c>
      <c r="L369" s="4">
        <v>1.2</v>
      </c>
      <c r="M369" s="4">
        <v>9</v>
      </c>
      <c r="N369" s="4">
        <v>613</v>
      </c>
      <c r="O369" s="4" t="str">
        <f t="shared" si="10"/>
        <v>EMI</v>
      </c>
      <c r="P369" s="5">
        <f t="shared" si="11"/>
        <v>45847.648000000001</v>
      </c>
    </row>
    <row r="370" spans="1:16" x14ac:dyDescent="0.25">
      <c r="A370" s="4">
        <v>2021</v>
      </c>
      <c r="B370" s="4">
        <v>4</v>
      </c>
      <c r="C370" s="12" t="s">
        <v>30</v>
      </c>
      <c r="D370" s="4" t="s">
        <v>29</v>
      </c>
      <c r="E370" s="4" t="s">
        <v>14</v>
      </c>
      <c r="F370" s="4" t="s">
        <v>21</v>
      </c>
      <c r="G370" s="5">
        <v>65341</v>
      </c>
      <c r="H370" s="5">
        <v>418894</v>
      </c>
      <c r="I370" s="4">
        <v>166</v>
      </c>
      <c r="J370" s="4">
        <v>0.97</v>
      </c>
      <c r="K370" s="4">
        <v>6.29</v>
      </c>
      <c r="L370" s="4">
        <v>1.2</v>
      </c>
      <c r="M370" s="4">
        <v>7</v>
      </c>
      <c r="N370" s="4">
        <v>730</v>
      </c>
      <c r="O370" s="4" t="str">
        <f t="shared" si="10"/>
        <v>EMI</v>
      </c>
      <c r="P370" s="5">
        <f t="shared" si="11"/>
        <v>66125.092000000004</v>
      </c>
    </row>
    <row r="371" spans="1:16" x14ac:dyDescent="0.25">
      <c r="A371" s="4">
        <v>2018</v>
      </c>
      <c r="B371" s="4">
        <v>7</v>
      </c>
      <c r="C371" s="12" t="s">
        <v>35</v>
      </c>
      <c r="D371" s="4" t="s">
        <v>16</v>
      </c>
      <c r="E371" s="4" t="s">
        <v>17</v>
      </c>
      <c r="F371" s="4" t="s">
        <v>21</v>
      </c>
      <c r="G371" s="5">
        <v>39758</v>
      </c>
      <c r="H371" s="5">
        <v>439187</v>
      </c>
      <c r="I371" s="4">
        <v>344</v>
      </c>
      <c r="J371" s="4">
        <v>0.97</v>
      </c>
      <c r="K371" s="4">
        <v>6.29</v>
      </c>
      <c r="L371" s="4">
        <v>1.2</v>
      </c>
      <c r="M371" s="4">
        <v>10</v>
      </c>
      <c r="N371" s="4">
        <v>934</v>
      </c>
      <c r="O371" s="4" t="str">
        <f t="shared" si="10"/>
        <v>EMI</v>
      </c>
      <c r="P371" s="5">
        <f t="shared" si="11"/>
        <v>40235.095999999998</v>
      </c>
    </row>
    <row r="372" spans="1:16" x14ac:dyDescent="0.25">
      <c r="A372" s="4">
        <v>2020</v>
      </c>
      <c r="B372" s="4">
        <v>3</v>
      </c>
      <c r="C372" s="12" t="s">
        <v>30</v>
      </c>
      <c r="D372" s="4" t="s">
        <v>27</v>
      </c>
      <c r="E372" s="4" t="s">
        <v>18</v>
      </c>
      <c r="F372" s="4" t="s">
        <v>25</v>
      </c>
      <c r="G372" s="5">
        <v>52010</v>
      </c>
      <c r="H372" s="5">
        <v>474606</v>
      </c>
      <c r="I372" s="4">
        <v>358</v>
      </c>
      <c r="J372" s="4">
        <v>0.97</v>
      </c>
      <c r="K372" s="4">
        <v>6.29</v>
      </c>
      <c r="L372" s="4">
        <v>1.2</v>
      </c>
      <c r="M372" s="4">
        <v>1</v>
      </c>
      <c r="N372" s="4">
        <v>980</v>
      </c>
      <c r="O372" s="4" t="str">
        <f t="shared" si="10"/>
        <v>Discount</v>
      </c>
      <c r="P372" s="5">
        <f t="shared" si="11"/>
        <v>46809</v>
      </c>
    </row>
    <row r="373" spans="1:16" x14ac:dyDescent="0.25">
      <c r="A373" s="4">
        <v>2018</v>
      </c>
      <c r="B373" s="4">
        <v>2</v>
      </c>
      <c r="C373" s="12" t="s">
        <v>36</v>
      </c>
      <c r="D373" s="4" t="s">
        <v>27</v>
      </c>
      <c r="E373" s="4" t="s">
        <v>17</v>
      </c>
      <c r="F373" s="4" t="s">
        <v>18</v>
      </c>
      <c r="G373" s="5">
        <v>95758</v>
      </c>
      <c r="H373" s="5">
        <v>106116</v>
      </c>
      <c r="I373" s="4">
        <v>269</v>
      </c>
      <c r="J373" s="4">
        <v>0.97</v>
      </c>
      <c r="K373" s="4">
        <v>6.29</v>
      </c>
      <c r="L373" s="4">
        <v>1.2</v>
      </c>
      <c r="M373" s="4">
        <v>7</v>
      </c>
      <c r="N373" s="4">
        <v>725</v>
      </c>
      <c r="O373" s="4" t="str">
        <f t="shared" si="10"/>
        <v>EMI</v>
      </c>
      <c r="P373" s="5">
        <f t="shared" si="11"/>
        <v>96907.096000000005</v>
      </c>
    </row>
    <row r="374" spans="1:16" x14ac:dyDescent="0.25">
      <c r="A374" s="4">
        <v>2017</v>
      </c>
      <c r="B374" s="4">
        <v>11</v>
      </c>
      <c r="C374" s="12" t="s">
        <v>34</v>
      </c>
      <c r="D374" s="4" t="s">
        <v>31</v>
      </c>
      <c r="E374" s="4" t="s">
        <v>17</v>
      </c>
      <c r="F374" s="4" t="s">
        <v>18</v>
      </c>
      <c r="G374" s="5">
        <v>66658</v>
      </c>
      <c r="H374" s="5">
        <v>194233</v>
      </c>
      <c r="I374" s="4">
        <v>91</v>
      </c>
      <c r="J374" s="4">
        <v>0.97</v>
      </c>
      <c r="K374" s="4">
        <v>6.29</v>
      </c>
      <c r="L374" s="4">
        <v>1.2</v>
      </c>
      <c r="M374" s="4">
        <v>1</v>
      </c>
      <c r="N374" s="4">
        <v>499</v>
      </c>
      <c r="O374" s="4" t="str">
        <f t="shared" si="10"/>
        <v>Full</v>
      </c>
      <c r="P374" s="5">
        <f t="shared" si="11"/>
        <v>66658</v>
      </c>
    </row>
    <row r="375" spans="1:16" x14ac:dyDescent="0.25">
      <c r="A375" s="4">
        <v>2021</v>
      </c>
      <c r="B375" s="4">
        <v>10</v>
      </c>
      <c r="C375" s="12" t="s">
        <v>30</v>
      </c>
      <c r="D375" s="4" t="s">
        <v>29</v>
      </c>
      <c r="E375" s="4" t="s">
        <v>14</v>
      </c>
      <c r="F375" s="4" t="s">
        <v>21</v>
      </c>
      <c r="G375" s="5">
        <v>84002</v>
      </c>
      <c r="H375" s="5">
        <v>82152</v>
      </c>
      <c r="I375" s="4">
        <v>251</v>
      </c>
      <c r="J375" s="4">
        <v>0.97</v>
      </c>
      <c r="K375" s="4">
        <v>6.29</v>
      </c>
      <c r="L375" s="4">
        <v>1.2</v>
      </c>
      <c r="M375" s="4">
        <v>7</v>
      </c>
      <c r="N375" s="4">
        <v>662</v>
      </c>
      <c r="O375" s="4" t="str">
        <f t="shared" si="10"/>
        <v>EMI</v>
      </c>
      <c r="P375" s="5">
        <f t="shared" si="11"/>
        <v>85010.024000000005</v>
      </c>
    </row>
    <row r="376" spans="1:16" x14ac:dyDescent="0.25">
      <c r="A376" s="4">
        <v>2022</v>
      </c>
      <c r="B376" s="4">
        <v>7</v>
      </c>
      <c r="C376" s="12" t="s">
        <v>35</v>
      </c>
      <c r="D376" s="4" t="s">
        <v>13</v>
      </c>
      <c r="E376" s="4" t="s">
        <v>17</v>
      </c>
      <c r="F376" s="4" t="s">
        <v>18</v>
      </c>
      <c r="G376" s="5">
        <v>36375</v>
      </c>
      <c r="H376" s="5">
        <v>156379</v>
      </c>
      <c r="I376" s="4">
        <v>181</v>
      </c>
      <c r="J376" s="4">
        <v>0.97</v>
      </c>
      <c r="K376" s="4">
        <v>6.29</v>
      </c>
      <c r="L376" s="4">
        <v>1.2</v>
      </c>
      <c r="M376" s="4">
        <v>10</v>
      </c>
      <c r="N376" s="4">
        <v>608</v>
      </c>
      <c r="O376" s="4" t="str">
        <f t="shared" si="10"/>
        <v>EMI</v>
      </c>
      <c r="P376" s="5">
        <f t="shared" si="11"/>
        <v>36811.5</v>
      </c>
    </row>
    <row r="377" spans="1:16" x14ac:dyDescent="0.25">
      <c r="A377" s="4">
        <v>2018</v>
      </c>
      <c r="B377" s="4">
        <v>1</v>
      </c>
      <c r="C377" s="12" t="s">
        <v>35</v>
      </c>
      <c r="D377" s="4" t="s">
        <v>22</v>
      </c>
      <c r="E377" s="4" t="s">
        <v>18</v>
      </c>
      <c r="F377" s="4" t="s">
        <v>18</v>
      </c>
      <c r="G377" s="5">
        <v>57092</v>
      </c>
      <c r="H377" s="5">
        <v>276905</v>
      </c>
      <c r="I377" s="4">
        <v>240</v>
      </c>
      <c r="J377" s="4">
        <v>0.97</v>
      </c>
      <c r="K377" s="4">
        <v>6.29</v>
      </c>
      <c r="L377" s="4">
        <v>1.2</v>
      </c>
      <c r="M377" s="4">
        <v>8</v>
      </c>
      <c r="N377" s="4">
        <v>719</v>
      </c>
      <c r="O377" s="4" t="str">
        <f t="shared" si="10"/>
        <v>EMI</v>
      </c>
      <c r="P377" s="5">
        <f t="shared" si="11"/>
        <v>57777.103999999999</v>
      </c>
    </row>
    <row r="378" spans="1:16" x14ac:dyDescent="0.25">
      <c r="A378" s="4">
        <v>2016</v>
      </c>
      <c r="B378" s="4">
        <v>8</v>
      </c>
      <c r="C378" s="12" t="s">
        <v>30</v>
      </c>
      <c r="D378" s="4" t="s">
        <v>32</v>
      </c>
      <c r="E378" s="4" t="s">
        <v>18</v>
      </c>
      <c r="F378" s="4" t="s">
        <v>18</v>
      </c>
      <c r="G378" s="5">
        <v>35490</v>
      </c>
      <c r="H378" s="5">
        <v>70836</v>
      </c>
      <c r="I378" s="4">
        <v>217</v>
      </c>
      <c r="J378" s="4">
        <v>0.97</v>
      </c>
      <c r="K378" s="4">
        <v>6.29</v>
      </c>
      <c r="L378" s="4">
        <v>1.2</v>
      </c>
      <c r="M378" s="4">
        <v>9</v>
      </c>
      <c r="N378" s="4">
        <v>450</v>
      </c>
      <c r="O378" s="4" t="str">
        <f t="shared" si="10"/>
        <v>EMI</v>
      </c>
      <c r="P378" s="5">
        <f t="shared" si="11"/>
        <v>35915.879999999997</v>
      </c>
    </row>
    <row r="379" spans="1:16" x14ac:dyDescent="0.25">
      <c r="A379" s="4">
        <v>2024</v>
      </c>
      <c r="B379" s="4">
        <v>3</v>
      </c>
      <c r="C379" s="12" t="s">
        <v>33</v>
      </c>
      <c r="D379" s="4" t="s">
        <v>29</v>
      </c>
      <c r="E379" s="4" t="s">
        <v>14</v>
      </c>
      <c r="F379" s="4" t="s">
        <v>25</v>
      </c>
      <c r="G379" s="5">
        <v>38729</v>
      </c>
      <c r="H379" s="5">
        <v>271439</v>
      </c>
      <c r="I379" s="4">
        <v>84</v>
      </c>
      <c r="J379" s="4">
        <v>0.97</v>
      </c>
      <c r="K379" s="4">
        <v>6.29</v>
      </c>
      <c r="L379" s="4">
        <v>1.2</v>
      </c>
      <c r="M379" s="4">
        <v>3</v>
      </c>
      <c r="N379" s="4">
        <v>257</v>
      </c>
      <c r="O379" s="4" t="str">
        <f t="shared" si="10"/>
        <v>EMI</v>
      </c>
      <c r="P379" s="5">
        <f t="shared" si="11"/>
        <v>39193.748</v>
      </c>
    </row>
    <row r="380" spans="1:16" x14ac:dyDescent="0.25">
      <c r="A380" s="4">
        <v>2017</v>
      </c>
      <c r="B380" s="4">
        <v>12</v>
      </c>
      <c r="C380" s="12" t="s">
        <v>36</v>
      </c>
      <c r="D380" s="4" t="s">
        <v>32</v>
      </c>
      <c r="E380" s="4" t="s">
        <v>17</v>
      </c>
      <c r="F380" s="4" t="s">
        <v>18</v>
      </c>
      <c r="G380" s="5">
        <v>40974</v>
      </c>
      <c r="H380" s="5">
        <v>236720</v>
      </c>
      <c r="I380" s="4">
        <v>279</v>
      </c>
      <c r="J380" s="4">
        <v>0.97</v>
      </c>
      <c r="K380" s="4">
        <v>6.29</v>
      </c>
      <c r="L380" s="4">
        <v>1.2</v>
      </c>
      <c r="M380" s="4">
        <v>4</v>
      </c>
      <c r="N380" s="4">
        <v>699</v>
      </c>
      <c r="O380" s="4" t="str">
        <f t="shared" si="10"/>
        <v>EMI</v>
      </c>
      <c r="P380" s="5">
        <f t="shared" si="11"/>
        <v>41465.688000000002</v>
      </c>
    </row>
    <row r="381" spans="1:16" x14ac:dyDescent="0.25">
      <c r="A381" s="4">
        <v>2015</v>
      </c>
      <c r="B381" s="4">
        <v>12</v>
      </c>
      <c r="C381" s="12" t="s">
        <v>33</v>
      </c>
      <c r="D381" s="4" t="s">
        <v>16</v>
      </c>
      <c r="E381" s="4" t="s">
        <v>18</v>
      </c>
      <c r="F381" s="4" t="s">
        <v>15</v>
      </c>
      <c r="G381" s="5">
        <v>118860</v>
      </c>
      <c r="H381" s="5">
        <v>207403</v>
      </c>
      <c r="I381" s="4">
        <v>396</v>
      </c>
      <c r="J381" s="4">
        <v>0.97</v>
      </c>
      <c r="K381" s="4">
        <v>6.29</v>
      </c>
      <c r="L381" s="4">
        <v>1.2</v>
      </c>
      <c r="M381" s="4">
        <v>4</v>
      </c>
      <c r="N381" s="4">
        <v>1078</v>
      </c>
      <c r="O381" s="4" t="str">
        <f t="shared" si="10"/>
        <v>EMI</v>
      </c>
      <c r="P381" s="5">
        <f t="shared" si="11"/>
        <v>120286.32</v>
      </c>
    </row>
    <row r="382" spans="1:16" x14ac:dyDescent="0.25">
      <c r="A382" s="4">
        <v>2022</v>
      </c>
      <c r="B382" s="4">
        <v>2</v>
      </c>
      <c r="C382" s="12" t="s">
        <v>12</v>
      </c>
      <c r="D382" s="4" t="s">
        <v>16</v>
      </c>
      <c r="E382" s="4" t="s">
        <v>17</v>
      </c>
      <c r="F382" s="4" t="s">
        <v>25</v>
      </c>
      <c r="G382" s="5">
        <v>56398</v>
      </c>
      <c r="H382" s="5">
        <v>191835</v>
      </c>
      <c r="I382" s="4">
        <v>123</v>
      </c>
      <c r="J382" s="4">
        <v>0.97</v>
      </c>
      <c r="K382" s="4">
        <v>6.29</v>
      </c>
      <c r="L382" s="4">
        <v>1.2</v>
      </c>
      <c r="M382" s="4">
        <v>9</v>
      </c>
      <c r="N382" s="4">
        <v>246</v>
      </c>
      <c r="O382" s="4" t="str">
        <f t="shared" si="10"/>
        <v>EMI</v>
      </c>
      <c r="P382" s="5">
        <f t="shared" si="11"/>
        <v>57074.775999999998</v>
      </c>
    </row>
    <row r="383" spans="1:16" x14ac:dyDescent="0.25">
      <c r="A383" s="4">
        <v>2017</v>
      </c>
      <c r="B383" s="4">
        <v>3</v>
      </c>
      <c r="C383" s="12" t="s">
        <v>36</v>
      </c>
      <c r="D383" s="4" t="s">
        <v>32</v>
      </c>
      <c r="E383" s="4" t="s">
        <v>17</v>
      </c>
      <c r="F383" s="4" t="s">
        <v>18</v>
      </c>
      <c r="G383" s="5">
        <v>69650</v>
      </c>
      <c r="H383" s="5">
        <v>381588</v>
      </c>
      <c r="I383" s="4">
        <v>71</v>
      </c>
      <c r="J383" s="4">
        <v>0.97</v>
      </c>
      <c r="K383" s="4">
        <v>6.29</v>
      </c>
      <c r="L383" s="4">
        <v>1.2</v>
      </c>
      <c r="M383" s="4">
        <v>7</v>
      </c>
      <c r="N383" s="4">
        <v>197</v>
      </c>
      <c r="O383" s="4" t="str">
        <f t="shared" si="10"/>
        <v>EMI</v>
      </c>
      <c r="P383" s="5">
        <f t="shared" si="11"/>
        <v>70485.8</v>
      </c>
    </row>
    <row r="384" spans="1:16" x14ac:dyDescent="0.25">
      <c r="A384" s="4">
        <v>2024</v>
      </c>
      <c r="B384" s="4">
        <v>5</v>
      </c>
      <c r="C384" s="12" t="s">
        <v>30</v>
      </c>
      <c r="D384" s="4" t="s">
        <v>22</v>
      </c>
      <c r="E384" s="4" t="s">
        <v>17</v>
      </c>
      <c r="F384" s="4" t="s">
        <v>18</v>
      </c>
      <c r="G384" s="5">
        <v>56292</v>
      </c>
      <c r="H384" s="5">
        <v>143109</v>
      </c>
      <c r="I384" s="4">
        <v>371</v>
      </c>
      <c r="J384" s="4">
        <v>0.97</v>
      </c>
      <c r="K384" s="4">
        <v>6.29</v>
      </c>
      <c r="L384" s="4">
        <v>1.2</v>
      </c>
      <c r="M384" s="4">
        <v>3</v>
      </c>
      <c r="N384" s="4">
        <v>931</v>
      </c>
      <c r="O384" s="4" t="str">
        <f t="shared" si="10"/>
        <v>EMI</v>
      </c>
      <c r="P384" s="5">
        <f t="shared" si="11"/>
        <v>56967.504000000001</v>
      </c>
    </row>
    <row r="385" spans="1:16" x14ac:dyDescent="0.25">
      <c r="A385" s="4">
        <v>2021</v>
      </c>
      <c r="B385" s="4">
        <v>11</v>
      </c>
      <c r="C385" s="12" t="s">
        <v>19</v>
      </c>
      <c r="D385" s="4" t="s">
        <v>29</v>
      </c>
      <c r="E385" s="4" t="s">
        <v>14</v>
      </c>
      <c r="F385" s="4" t="s">
        <v>15</v>
      </c>
      <c r="G385" s="5">
        <v>38159</v>
      </c>
      <c r="H385" s="5">
        <v>200259</v>
      </c>
      <c r="I385" s="4">
        <v>329</v>
      </c>
      <c r="J385" s="4">
        <v>0.97</v>
      </c>
      <c r="K385" s="4">
        <v>6.29</v>
      </c>
      <c r="L385" s="4">
        <v>1.2</v>
      </c>
      <c r="M385" s="4">
        <v>10</v>
      </c>
      <c r="N385" s="4">
        <v>1013</v>
      </c>
      <c r="O385" s="4" t="str">
        <f t="shared" si="10"/>
        <v>EMI</v>
      </c>
      <c r="P385" s="5">
        <f t="shared" si="11"/>
        <v>38616.908000000003</v>
      </c>
    </row>
    <row r="386" spans="1:16" x14ac:dyDescent="0.25">
      <c r="A386" s="4">
        <v>2024</v>
      </c>
      <c r="B386" s="4">
        <v>8</v>
      </c>
      <c r="C386" s="12" t="s">
        <v>30</v>
      </c>
      <c r="D386" s="4" t="s">
        <v>13</v>
      </c>
      <c r="E386" s="4" t="s">
        <v>17</v>
      </c>
      <c r="F386" s="4" t="s">
        <v>25</v>
      </c>
      <c r="G386" s="5">
        <v>97766</v>
      </c>
      <c r="H386" s="5">
        <v>193029</v>
      </c>
      <c r="I386" s="4">
        <v>111</v>
      </c>
      <c r="J386" s="4">
        <v>0.97</v>
      </c>
      <c r="K386" s="4">
        <v>6.29</v>
      </c>
      <c r="L386" s="4">
        <v>1.2</v>
      </c>
      <c r="M386" s="4">
        <v>5</v>
      </c>
      <c r="N386" s="4">
        <v>499</v>
      </c>
      <c r="O386" s="4" t="str">
        <f t="shared" ref="O386:O449" si="12">IF(M386&gt;2,"EMI",IF(H386&gt;300000,"Discount","Full"))</f>
        <v>EMI</v>
      </c>
      <c r="P386" s="5">
        <f t="shared" ref="P386:P449" si="13">IF(O386="EMI", G386*(1+L386/100), IF(O386="Full", G386, G386*0.9))</f>
        <v>98939.191999999995</v>
      </c>
    </row>
    <row r="387" spans="1:16" x14ac:dyDescent="0.25">
      <c r="A387" s="4">
        <v>2019</v>
      </c>
      <c r="B387" s="4">
        <v>10</v>
      </c>
      <c r="C387" s="12" t="s">
        <v>33</v>
      </c>
      <c r="D387" s="4" t="s">
        <v>31</v>
      </c>
      <c r="E387" s="4" t="s">
        <v>18</v>
      </c>
      <c r="F387" s="4" t="s">
        <v>21</v>
      </c>
      <c r="G387" s="5">
        <v>52065</v>
      </c>
      <c r="H387" s="5">
        <v>447595</v>
      </c>
      <c r="I387" s="4">
        <v>371</v>
      </c>
      <c r="J387" s="4">
        <v>0.97</v>
      </c>
      <c r="K387" s="4">
        <v>6.29</v>
      </c>
      <c r="L387" s="4">
        <v>1.2</v>
      </c>
      <c r="M387" s="4">
        <v>7</v>
      </c>
      <c r="N387" s="4">
        <v>977</v>
      </c>
      <c r="O387" s="4" t="str">
        <f t="shared" si="12"/>
        <v>EMI</v>
      </c>
      <c r="P387" s="5">
        <f t="shared" si="13"/>
        <v>52689.78</v>
      </c>
    </row>
    <row r="388" spans="1:16" x14ac:dyDescent="0.25">
      <c r="A388" s="4">
        <v>2024</v>
      </c>
      <c r="B388" s="4">
        <v>7</v>
      </c>
      <c r="C388" s="12" t="s">
        <v>34</v>
      </c>
      <c r="D388" s="4" t="s">
        <v>20</v>
      </c>
      <c r="E388" s="4" t="s">
        <v>17</v>
      </c>
      <c r="F388" s="4" t="s">
        <v>21</v>
      </c>
      <c r="G388" s="5">
        <v>56638</v>
      </c>
      <c r="H388" s="5">
        <v>471175</v>
      </c>
      <c r="I388" s="4">
        <v>219</v>
      </c>
      <c r="J388" s="4">
        <v>0.97</v>
      </c>
      <c r="K388" s="4">
        <v>6.29</v>
      </c>
      <c r="L388" s="4">
        <v>1.2</v>
      </c>
      <c r="M388" s="4">
        <v>8</v>
      </c>
      <c r="N388" s="4">
        <v>790</v>
      </c>
      <c r="O388" s="4" t="str">
        <f t="shared" si="12"/>
        <v>EMI</v>
      </c>
      <c r="P388" s="5">
        <f t="shared" si="13"/>
        <v>57317.656000000003</v>
      </c>
    </row>
    <row r="389" spans="1:16" x14ac:dyDescent="0.25">
      <c r="A389" s="4">
        <v>2019</v>
      </c>
      <c r="B389" s="4">
        <v>7</v>
      </c>
      <c r="C389" s="12" t="s">
        <v>30</v>
      </c>
      <c r="D389" s="4" t="s">
        <v>16</v>
      </c>
      <c r="E389" s="4" t="s">
        <v>18</v>
      </c>
      <c r="F389" s="4" t="s">
        <v>25</v>
      </c>
      <c r="G389" s="5">
        <v>36073</v>
      </c>
      <c r="H389" s="5">
        <v>132018</v>
      </c>
      <c r="I389" s="4">
        <v>264</v>
      </c>
      <c r="J389" s="4">
        <v>0.97</v>
      </c>
      <c r="K389" s="4">
        <v>6.29</v>
      </c>
      <c r="L389" s="4">
        <v>1.2</v>
      </c>
      <c r="M389" s="4">
        <v>1</v>
      </c>
      <c r="N389" s="4">
        <v>880</v>
      </c>
      <c r="O389" s="4" t="str">
        <f t="shared" si="12"/>
        <v>Full</v>
      </c>
      <c r="P389" s="5">
        <f t="shared" si="13"/>
        <v>36073</v>
      </c>
    </row>
    <row r="390" spans="1:16" x14ac:dyDescent="0.25">
      <c r="A390" s="4">
        <v>2021</v>
      </c>
      <c r="B390" s="4">
        <v>12</v>
      </c>
      <c r="C390" s="12" t="s">
        <v>30</v>
      </c>
      <c r="D390" s="4" t="s">
        <v>27</v>
      </c>
      <c r="E390" s="4" t="s">
        <v>17</v>
      </c>
      <c r="F390" s="4" t="s">
        <v>18</v>
      </c>
      <c r="G390" s="5">
        <v>81511</v>
      </c>
      <c r="H390" s="5">
        <v>173076</v>
      </c>
      <c r="I390" s="4">
        <v>29</v>
      </c>
      <c r="J390" s="4">
        <v>0.97</v>
      </c>
      <c r="K390" s="4">
        <v>6.29</v>
      </c>
      <c r="L390" s="4">
        <v>1.2</v>
      </c>
      <c r="M390" s="4">
        <v>2</v>
      </c>
      <c r="N390" s="4">
        <v>346</v>
      </c>
      <c r="O390" s="4" t="str">
        <f t="shared" si="12"/>
        <v>Full</v>
      </c>
      <c r="P390" s="5">
        <f t="shared" si="13"/>
        <v>81511</v>
      </c>
    </row>
    <row r="391" spans="1:16" x14ac:dyDescent="0.25">
      <c r="A391" s="4">
        <v>2023</v>
      </c>
      <c r="B391" s="4">
        <v>7</v>
      </c>
      <c r="C391" s="12" t="s">
        <v>34</v>
      </c>
      <c r="D391" s="4" t="s">
        <v>22</v>
      </c>
      <c r="E391" s="4" t="s">
        <v>18</v>
      </c>
      <c r="F391" s="4" t="s">
        <v>18</v>
      </c>
      <c r="G391" s="5">
        <v>119307</v>
      </c>
      <c r="H391" s="5">
        <v>208177</v>
      </c>
      <c r="I391" s="4">
        <v>67</v>
      </c>
      <c r="J391" s="4">
        <v>0.97</v>
      </c>
      <c r="K391" s="4">
        <v>6.29</v>
      </c>
      <c r="L391" s="4">
        <v>1.2</v>
      </c>
      <c r="M391" s="4">
        <v>7</v>
      </c>
      <c r="N391" s="4">
        <v>353</v>
      </c>
      <c r="O391" s="4" t="str">
        <f t="shared" si="12"/>
        <v>EMI</v>
      </c>
      <c r="P391" s="5">
        <f t="shared" si="13"/>
        <v>120738.68400000001</v>
      </c>
    </row>
    <row r="392" spans="1:16" x14ac:dyDescent="0.25">
      <c r="A392" s="4">
        <v>2019</v>
      </c>
      <c r="B392" s="4">
        <v>8</v>
      </c>
      <c r="C392" s="12" t="s">
        <v>30</v>
      </c>
      <c r="D392" s="4" t="s">
        <v>20</v>
      </c>
      <c r="E392" s="4" t="s">
        <v>18</v>
      </c>
      <c r="F392" s="4" t="s">
        <v>21</v>
      </c>
      <c r="G392" s="5">
        <v>64320</v>
      </c>
      <c r="H392" s="5">
        <v>444093</v>
      </c>
      <c r="I392" s="4">
        <v>121</v>
      </c>
      <c r="J392" s="4">
        <v>0.97</v>
      </c>
      <c r="K392" s="4">
        <v>6.29</v>
      </c>
      <c r="L392" s="4">
        <v>1.2</v>
      </c>
      <c r="M392" s="4">
        <v>2</v>
      </c>
      <c r="N392" s="4">
        <v>620</v>
      </c>
      <c r="O392" s="4" t="str">
        <f t="shared" si="12"/>
        <v>Discount</v>
      </c>
      <c r="P392" s="5">
        <f t="shared" si="13"/>
        <v>57888</v>
      </c>
    </row>
    <row r="393" spans="1:16" x14ac:dyDescent="0.25">
      <c r="A393" s="4">
        <v>2015</v>
      </c>
      <c r="B393" s="4">
        <v>1</v>
      </c>
      <c r="C393" s="12" t="s">
        <v>26</v>
      </c>
      <c r="D393" s="4" t="s">
        <v>13</v>
      </c>
      <c r="E393" s="4" t="s">
        <v>17</v>
      </c>
      <c r="F393" s="4" t="s">
        <v>21</v>
      </c>
      <c r="G393" s="5">
        <v>104876</v>
      </c>
      <c r="H393" s="5">
        <v>229425</v>
      </c>
      <c r="I393" s="4">
        <v>322</v>
      </c>
      <c r="J393" s="4">
        <v>0.97</v>
      </c>
      <c r="K393" s="4">
        <v>6.29</v>
      </c>
      <c r="L393" s="4">
        <v>1.2</v>
      </c>
      <c r="M393" s="4">
        <v>7</v>
      </c>
      <c r="N393" s="4">
        <v>675</v>
      </c>
      <c r="O393" s="4" t="str">
        <f t="shared" si="12"/>
        <v>EMI</v>
      </c>
      <c r="P393" s="5">
        <f t="shared" si="13"/>
        <v>106134.512</v>
      </c>
    </row>
    <row r="394" spans="1:16" x14ac:dyDescent="0.25">
      <c r="A394" s="4">
        <v>2024</v>
      </c>
      <c r="B394" s="4">
        <v>4</v>
      </c>
      <c r="C394" s="12" t="s">
        <v>19</v>
      </c>
      <c r="D394" s="4" t="s">
        <v>24</v>
      </c>
      <c r="E394" s="4" t="s">
        <v>17</v>
      </c>
      <c r="F394" s="4" t="s">
        <v>21</v>
      </c>
      <c r="G394" s="5">
        <v>69924</v>
      </c>
      <c r="H394" s="5">
        <v>395932</v>
      </c>
      <c r="I394" s="4">
        <v>205</v>
      </c>
      <c r="J394" s="4">
        <v>0.97</v>
      </c>
      <c r="K394" s="4">
        <v>6.29</v>
      </c>
      <c r="L394" s="4">
        <v>1.2</v>
      </c>
      <c r="M394" s="4">
        <v>9</v>
      </c>
      <c r="N394" s="4">
        <v>667</v>
      </c>
      <c r="O394" s="4" t="str">
        <f t="shared" si="12"/>
        <v>EMI</v>
      </c>
      <c r="P394" s="5">
        <f t="shared" si="13"/>
        <v>70763.088000000003</v>
      </c>
    </row>
    <row r="395" spans="1:16" x14ac:dyDescent="0.25">
      <c r="A395" s="4">
        <v>2024</v>
      </c>
      <c r="B395" s="4">
        <v>6</v>
      </c>
      <c r="C395" s="12" t="s">
        <v>28</v>
      </c>
      <c r="D395" s="4" t="s">
        <v>31</v>
      </c>
      <c r="E395" s="4" t="s">
        <v>18</v>
      </c>
      <c r="F395" s="4" t="s">
        <v>15</v>
      </c>
      <c r="G395" s="5">
        <v>116720</v>
      </c>
      <c r="H395" s="5">
        <v>409014</v>
      </c>
      <c r="I395" s="4">
        <v>384</v>
      </c>
      <c r="J395" s="4">
        <v>0.97</v>
      </c>
      <c r="K395" s="4">
        <v>6.29</v>
      </c>
      <c r="L395" s="4">
        <v>1.2</v>
      </c>
      <c r="M395" s="4">
        <v>2</v>
      </c>
      <c r="N395" s="4">
        <v>868</v>
      </c>
      <c r="O395" s="4" t="str">
        <f t="shared" si="12"/>
        <v>Discount</v>
      </c>
      <c r="P395" s="5">
        <f t="shared" si="13"/>
        <v>105048</v>
      </c>
    </row>
    <row r="396" spans="1:16" x14ac:dyDescent="0.25">
      <c r="A396" s="4">
        <v>2015</v>
      </c>
      <c r="B396" s="4">
        <v>9</v>
      </c>
      <c r="C396" s="12" t="s">
        <v>19</v>
      </c>
      <c r="D396" s="4" t="s">
        <v>16</v>
      </c>
      <c r="E396" s="4" t="s">
        <v>14</v>
      </c>
      <c r="F396" s="4" t="s">
        <v>21</v>
      </c>
      <c r="G396" s="5">
        <v>75734</v>
      </c>
      <c r="H396" s="5">
        <v>265657</v>
      </c>
      <c r="I396" s="4">
        <v>362</v>
      </c>
      <c r="J396" s="4">
        <v>0.97</v>
      </c>
      <c r="K396" s="4">
        <v>6.29</v>
      </c>
      <c r="L396" s="4">
        <v>1.2</v>
      </c>
      <c r="M396" s="4">
        <v>7</v>
      </c>
      <c r="N396" s="4">
        <v>836</v>
      </c>
      <c r="O396" s="4" t="str">
        <f t="shared" si="12"/>
        <v>EMI</v>
      </c>
      <c r="P396" s="5">
        <f t="shared" si="13"/>
        <v>76642.808000000005</v>
      </c>
    </row>
    <row r="397" spans="1:16" x14ac:dyDescent="0.25">
      <c r="A397" s="4">
        <v>2016</v>
      </c>
      <c r="B397" s="4">
        <v>2</v>
      </c>
      <c r="C397" s="12" t="s">
        <v>30</v>
      </c>
      <c r="D397" s="4" t="s">
        <v>31</v>
      </c>
      <c r="E397" s="4" t="s">
        <v>17</v>
      </c>
      <c r="F397" s="4" t="s">
        <v>15</v>
      </c>
      <c r="G397" s="5">
        <v>103116</v>
      </c>
      <c r="H397" s="5">
        <v>395452</v>
      </c>
      <c r="I397" s="4">
        <v>101</v>
      </c>
      <c r="J397" s="4">
        <v>0.97</v>
      </c>
      <c r="K397" s="4">
        <v>6.29</v>
      </c>
      <c r="L397" s="4">
        <v>1.2</v>
      </c>
      <c r="M397" s="4">
        <v>4</v>
      </c>
      <c r="N397" s="4">
        <v>231</v>
      </c>
      <c r="O397" s="4" t="str">
        <f t="shared" si="12"/>
        <v>EMI</v>
      </c>
      <c r="P397" s="5">
        <f t="shared" si="13"/>
        <v>104353.39200000001</v>
      </c>
    </row>
    <row r="398" spans="1:16" x14ac:dyDescent="0.25">
      <c r="A398" s="4">
        <v>2020</v>
      </c>
      <c r="B398" s="4">
        <v>1</v>
      </c>
      <c r="C398" s="12" t="s">
        <v>26</v>
      </c>
      <c r="D398" s="4" t="s">
        <v>20</v>
      </c>
      <c r="E398" s="4" t="s">
        <v>14</v>
      </c>
      <c r="F398" s="4" t="s">
        <v>25</v>
      </c>
      <c r="G398" s="5">
        <v>75025</v>
      </c>
      <c r="H398" s="5">
        <v>494783</v>
      </c>
      <c r="I398" s="4">
        <v>61</v>
      </c>
      <c r="J398" s="4">
        <v>0.97</v>
      </c>
      <c r="K398" s="4">
        <v>6.29</v>
      </c>
      <c r="L398" s="4">
        <v>1.2</v>
      </c>
      <c r="M398" s="4">
        <v>2</v>
      </c>
      <c r="N398" s="4">
        <v>567</v>
      </c>
      <c r="O398" s="4" t="str">
        <f t="shared" si="12"/>
        <v>Discount</v>
      </c>
      <c r="P398" s="5">
        <f t="shared" si="13"/>
        <v>67522.5</v>
      </c>
    </row>
    <row r="399" spans="1:16" x14ac:dyDescent="0.25">
      <c r="A399" s="4">
        <v>2023</v>
      </c>
      <c r="B399" s="4">
        <v>10</v>
      </c>
      <c r="C399" s="12" t="s">
        <v>36</v>
      </c>
      <c r="D399" s="4" t="s">
        <v>31</v>
      </c>
      <c r="E399" s="4" t="s">
        <v>17</v>
      </c>
      <c r="F399" s="4" t="s">
        <v>18</v>
      </c>
      <c r="G399" s="5">
        <v>37159</v>
      </c>
      <c r="H399" s="5">
        <v>370057</v>
      </c>
      <c r="I399" s="4">
        <v>302</v>
      </c>
      <c r="J399" s="4">
        <v>0.97</v>
      </c>
      <c r="K399" s="4">
        <v>6.29</v>
      </c>
      <c r="L399" s="4">
        <v>1.2</v>
      </c>
      <c r="M399" s="4">
        <v>7</v>
      </c>
      <c r="N399" s="4">
        <v>1016</v>
      </c>
      <c r="O399" s="4" t="str">
        <f t="shared" si="12"/>
        <v>EMI</v>
      </c>
      <c r="P399" s="5">
        <f t="shared" si="13"/>
        <v>37604.908000000003</v>
      </c>
    </row>
    <row r="400" spans="1:16" x14ac:dyDescent="0.25">
      <c r="A400" s="4">
        <v>2022</v>
      </c>
      <c r="B400" s="4">
        <v>12</v>
      </c>
      <c r="C400" s="12" t="s">
        <v>30</v>
      </c>
      <c r="D400" s="4" t="s">
        <v>24</v>
      </c>
      <c r="E400" s="4" t="s">
        <v>17</v>
      </c>
      <c r="F400" s="4" t="s">
        <v>21</v>
      </c>
      <c r="G400" s="5">
        <v>83940</v>
      </c>
      <c r="H400" s="5">
        <v>52637</v>
      </c>
      <c r="I400" s="4">
        <v>17</v>
      </c>
      <c r="J400" s="4">
        <v>0.97</v>
      </c>
      <c r="K400" s="4">
        <v>6.29</v>
      </c>
      <c r="L400" s="4">
        <v>1.2</v>
      </c>
      <c r="M400" s="4">
        <v>5</v>
      </c>
      <c r="N400" s="4">
        <v>386</v>
      </c>
      <c r="O400" s="4" t="str">
        <f t="shared" si="12"/>
        <v>EMI</v>
      </c>
      <c r="P400" s="5">
        <f t="shared" si="13"/>
        <v>84947.28</v>
      </c>
    </row>
    <row r="401" spans="1:16" x14ac:dyDescent="0.25">
      <c r="A401" s="4">
        <v>2019</v>
      </c>
      <c r="B401" s="4">
        <v>2</v>
      </c>
      <c r="C401" s="12" t="s">
        <v>33</v>
      </c>
      <c r="D401" s="4" t="s">
        <v>20</v>
      </c>
      <c r="E401" s="4" t="s">
        <v>17</v>
      </c>
      <c r="F401" s="4" t="s">
        <v>18</v>
      </c>
      <c r="G401" s="5">
        <v>114436</v>
      </c>
      <c r="H401" s="5">
        <v>354169</v>
      </c>
      <c r="I401" s="4">
        <v>309</v>
      </c>
      <c r="J401" s="4">
        <v>0.97</v>
      </c>
      <c r="K401" s="4">
        <v>6.29</v>
      </c>
      <c r="L401" s="4">
        <v>1.2</v>
      </c>
      <c r="M401" s="4">
        <v>1</v>
      </c>
      <c r="N401" s="4">
        <v>730</v>
      </c>
      <c r="O401" s="4" t="str">
        <f t="shared" si="12"/>
        <v>Discount</v>
      </c>
      <c r="P401" s="5">
        <f t="shared" si="13"/>
        <v>102992.40000000001</v>
      </c>
    </row>
    <row r="402" spans="1:16" x14ac:dyDescent="0.25">
      <c r="A402" s="4">
        <v>2015</v>
      </c>
      <c r="B402" s="4">
        <v>7</v>
      </c>
      <c r="C402" s="12" t="s">
        <v>26</v>
      </c>
      <c r="D402" s="4" t="s">
        <v>16</v>
      </c>
      <c r="E402" s="4" t="s">
        <v>17</v>
      </c>
      <c r="F402" s="4" t="s">
        <v>18</v>
      </c>
      <c r="G402" s="5">
        <v>111976</v>
      </c>
      <c r="H402" s="5">
        <v>287989</v>
      </c>
      <c r="I402" s="4">
        <v>107</v>
      </c>
      <c r="J402" s="4">
        <v>0.97</v>
      </c>
      <c r="K402" s="4">
        <v>6.29</v>
      </c>
      <c r="L402" s="4">
        <v>1.2</v>
      </c>
      <c r="M402" s="4">
        <v>5</v>
      </c>
      <c r="N402" s="4">
        <v>552</v>
      </c>
      <c r="O402" s="4" t="str">
        <f t="shared" si="12"/>
        <v>EMI</v>
      </c>
      <c r="P402" s="5">
        <f t="shared" si="13"/>
        <v>113319.712</v>
      </c>
    </row>
    <row r="403" spans="1:16" x14ac:dyDescent="0.25">
      <c r="A403" s="4">
        <v>2021</v>
      </c>
      <c r="B403" s="4">
        <v>3</v>
      </c>
      <c r="C403" s="12" t="s">
        <v>34</v>
      </c>
      <c r="D403" s="4" t="s">
        <v>29</v>
      </c>
      <c r="E403" s="4" t="s">
        <v>14</v>
      </c>
      <c r="F403" s="4" t="s">
        <v>21</v>
      </c>
      <c r="G403" s="5">
        <v>49678</v>
      </c>
      <c r="H403" s="5">
        <v>282259</v>
      </c>
      <c r="I403" s="4">
        <v>245</v>
      </c>
      <c r="J403" s="4">
        <v>0.97</v>
      </c>
      <c r="K403" s="4">
        <v>6.29</v>
      </c>
      <c r="L403" s="4">
        <v>1.2</v>
      </c>
      <c r="M403" s="4">
        <v>3</v>
      </c>
      <c r="N403" s="4">
        <v>875</v>
      </c>
      <c r="O403" s="4" t="str">
        <f t="shared" si="12"/>
        <v>EMI</v>
      </c>
      <c r="P403" s="5">
        <f t="shared" si="13"/>
        <v>50274.135999999999</v>
      </c>
    </row>
    <row r="404" spans="1:16" x14ac:dyDescent="0.25">
      <c r="A404" s="4">
        <v>2019</v>
      </c>
      <c r="B404" s="4">
        <v>10</v>
      </c>
      <c r="C404" s="12" t="s">
        <v>26</v>
      </c>
      <c r="D404" s="4" t="s">
        <v>27</v>
      </c>
      <c r="E404" s="4" t="s">
        <v>17</v>
      </c>
      <c r="F404" s="4" t="s">
        <v>21</v>
      </c>
      <c r="G404" s="5">
        <v>96075</v>
      </c>
      <c r="H404" s="5">
        <v>411652</v>
      </c>
      <c r="I404" s="4">
        <v>398</v>
      </c>
      <c r="J404" s="4">
        <v>0.97</v>
      </c>
      <c r="K404" s="4">
        <v>6.29</v>
      </c>
      <c r="L404" s="4">
        <v>1.2</v>
      </c>
      <c r="M404" s="4">
        <v>7</v>
      </c>
      <c r="N404" s="4">
        <v>1083</v>
      </c>
      <c r="O404" s="4" t="str">
        <f t="shared" si="12"/>
        <v>EMI</v>
      </c>
      <c r="P404" s="5">
        <f t="shared" si="13"/>
        <v>97227.9</v>
      </c>
    </row>
    <row r="405" spans="1:16" x14ac:dyDescent="0.25">
      <c r="A405" s="4">
        <v>2020</v>
      </c>
      <c r="B405" s="4">
        <v>2</v>
      </c>
      <c r="C405" s="12" t="s">
        <v>34</v>
      </c>
      <c r="D405" s="4" t="s">
        <v>20</v>
      </c>
      <c r="E405" s="4" t="s">
        <v>18</v>
      </c>
      <c r="F405" s="4" t="s">
        <v>25</v>
      </c>
      <c r="G405" s="5">
        <v>82204</v>
      </c>
      <c r="H405" s="5">
        <v>132464</v>
      </c>
      <c r="I405" s="4">
        <v>383</v>
      </c>
      <c r="J405" s="4">
        <v>0.97</v>
      </c>
      <c r="K405" s="4">
        <v>6.29</v>
      </c>
      <c r="L405" s="4">
        <v>1.2</v>
      </c>
      <c r="M405" s="4">
        <v>6</v>
      </c>
      <c r="N405" s="4">
        <v>978</v>
      </c>
      <c r="O405" s="4" t="str">
        <f t="shared" si="12"/>
        <v>EMI</v>
      </c>
      <c r="P405" s="5">
        <f t="shared" si="13"/>
        <v>83190.448000000004</v>
      </c>
    </row>
    <row r="406" spans="1:16" x14ac:dyDescent="0.25">
      <c r="A406" s="4">
        <v>2021</v>
      </c>
      <c r="B406" s="4">
        <v>11</v>
      </c>
      <c r="C406" s="12" t="s">
        <v>12</v>
      </c>
      <c r="D406" s="4" t="s">
        <v>37</v>
      </c>
      <c r="E406" s="4" t="s">
        <v>18</v>
      </c>
      <c r="F406" s="4" t="s">
        <v>15</v>
      </c>
      <c r="G406" s="5">
        <v>47021</v>
      </c>
      <c r="H406" s="5">
        <v>340886</v>
      </c>
      <c r="I406" s="4">
        <v>78</v>
      </c>
      <c r="J406" s="4">
        <v>0.97</v>
      </c>
      <c r="K406" s="4">
        <v>6.29</v>
      </c>
      <c r="L406" s="4">
        <v>1.2</v>
      </c>
      <c r="M406" s="4">
        <v>8</v>
      </c>
      <c r="N406" s="4">
        <v>248</v>
      </c>
      <c r="O406" s="4" t="str">
        <f t="shared" si="12"/>
        <v>EMI</v>
      </c>
      <c r="P406" s="5">
        <f t="shared" si="13"/>
        <v>47585.252</v>
      </c>
    </row>
    <row r="407" spans="1:16" x14ac:dyDescent="0.25">
      <c r="A407" s="4">
        <v>2017</v>
      </c>
      <c r="B407" s="4">
        <v>7</v>
      </c>
      <c r="C407" s="12" t="s">
        <v>28</v>
      </c>
      <c r="D407" s="4" t="s">
        <v>24</v>
      </c>
      <c r="E407" s="4" t="s">
        <v>14</v>
      </c>
      <c r="F407" s="4" t="s">
        <v>15</v>
      </c>
      <c r="G407" s="5">
        <v>41772</v>
      </c>
      <c r="H407" s="5">
        <v>61831</v>
      </c>
      <c r="I407" s="4">
        <v>54</v>
      </c>
      <c r="J407" s="4">
        <v>0.97</v>
      </c>
      <c r="K407" s="4">
        <v>6.29</v>
      </c>
      <c r="L407" s="4">
        <v>1.2</v>
      </c>
      <c r="M407" s="4">
        <v>5</v>
      </c>
      <c r="N407" s="4">
        <v>351</v>
      </c>
      <c r="O407" s="4" t="str">
        <f t="shared" si="12"/>
        <v>EMI</v>
      </c>
      <c r="P407" s="5">
        <f t="shared" si="13"/>
        <v>42273.264000000003</v>
      </c>
    </row>
    <row r="408" spans="1:16" x14ac:dyDescent="0.25">
      <c r="A408" s="4">
        <v>2024</v>
      </c>
      <c r="B408" s="4">
        <v>2</v>
      </c>
      <c r="C408" s="12" t="s">
        <v>23</v>
      </c>
      <c r="D408" s="4" t="s">
        <v>20</v>
      </c>
      <c r="E408" s="4" t="s">
        <v>17</v>
      </c>
      <c r="F408" s="4" t="s">
        <v>18</v>
      </c>
      <c r="G408" s="5">
        <v>102163</v>
      </c>
      <c r="H408" s="5">
        <v>163768</v>
      </c>
      <c r="I408" s="4">
        <v>146</v>
      </c>
      <c r="J408" s="4">
        <v>0.97</v>
      </c>
      <c r="K408" s="4">
        <v>6.29</v>
      </c>
      <c r="L408" s="4">
        <v>1.2</v>
      </c>
      <c r="M408" s="4">
        <v>2</v>
      </c>
      <c r="N408" s="4">
        <v>556</v>
      </c>
      <c r="O408" s="4" t="str">
        <f t="shared" si="12"/>
        <v>Full</v>
      </c>
      <c r="P408" s="5">
        <f t="shared" si="13"/>
        <v>102163</v>
      </c>
    </row>
    <row r="409" spans="1:16" x14ac:dyDescent="0.25">
      <c r="A409" s="4">
        <v>2017</v>
      </c>
      <c r="B409" s="4">
        <v>3</v>
      </c>
      <c r="C409" s="12" t="s">
        <v>26</v>
      </c>
      <c r="D409" s="4" t="s">
        <v>20</v>
      </c>
      <c r="E409" s="4" t="s">
        <v>18</v>
      </c>
      <c r="F409" s="4" t="s">
        <v>21</v>
      </c>
      <c r="G409" s="5">
        <v>108755</v>
      </c>
      <c r="H409" s="5">
        <v>296983</v>
      </c>
      <c r="I409" s="4">
        <v>243</v>
      </c>
      <c r="J409" s="4">
        <v>0.97</v>
      </c>
      <c r="K409" s="4">
        <v>6.29</v>
      </c>
      <c r="L409" s="4">
        <v>1.2</v>
      </c>
      <c r="M409" s="4">
        <v>9</v>
      </c>
      <c r="N409" s="4">
        <v>578</v>
      </c>
      <c r="O409" s="4" t="str">
        <f t="shared" si="12"/>
        <v>EMI</v>
      </c>
      <c r="P409" s="5">
        <f t="shared" si="13"/>
        <v>110060.06</v>
      </c>
    </row>
    <row r="410" spans="1:16" x14ac:dyDescent="0.25">
      <c r="A410" s="4">
        <v>2019</v>
      </c>
      <c r="B410" s="4">
        <v>11</v>
      </c>
      <c r="C410" s="12" t="s">
        <v>35</v>
      </c>
      <c r="D410" s="4" t="s">
        <v>37</v>
      </c>
      <c r="E410" s="4" t="s">
        <v>14</v>
      </c>
      <c r="F410" s="4" t="s">
        <v>25</v>
      </c>
      <c r="G410" s="5">
        <v>58464</v>
      </c>
      <c r="H410" s="5">
        <v>397236</v>
      </c>
      <c r="I410" s="4">
        <v>41</v>
      </c>
      <c r="J410" s="4">
        <v>0.97</v>
      </c>
      <c r="K410" s="4">
        <v>6.29</v>
      </c>
      <c r="L410" s="4">
        <v>1.2</v>
      </c>
      <c r="M410" s="4">
        <v>8</v>
      </c>
      <c r="N410" s="4">
        <v>147</v>
      </c>
      <c r="O410" s="4" t="str">
        <f t="shared" si="12"/>
        <v>EMI</v>
      </c>
      <c r="P410" s="5">
        <f t="shared" si="13"/>
        <v>59165.567999999999</v>
      </c>
    </row>
    <row r="411" spans="1:16" x14ac:dyDescent="0.25">
      <c r="A411" s="4">
        <v>2020</v>
      </c>
      <c r="B411" s="4">
        <v>7</v>
      </c>
      <c r="C411" s="12" t="s">
        <v>33</v>
      </c>
      <c r="D411" s="4" t="s">
        <v>16</v>
      </c>
      <c r="E411" s="4" t="s">
        <v>17</v>
      </c>
      <c r="F411" s="4" t="s">
        <v>25</v>
      </c>
      <c r="G411" s="5">
        <v>86137</v>
      </c>
      <c r="H411" s="5">
        <v>403023</v>
      </c>
      <c r="I411" s="4">
        <v>298</v>
      </c>
      <c r="J411" s="4">
        <v>0.97</v>
      </c>
      <c r="K411" s="4">
        <v>6.29</v>
      </c>
      <c r="L411" s="4">
        <v>1.2</v>
      </c>
      <c r="M411" s="4">
        <v>6</v>
      </c>
      <c r="N411" s="4">
        <v>886</v>
      </c>
      <c r="O411" s="4" t="str">
        <f t="shared" si="12"/>
        <v>EMI</v>
      </c>
      <c r="P411" s="5">
        <f t="shared" si="13"/>
        <v>87170.644</v>
      </c>
    </row>
    <row r="412" spans="1:16" x14ac:dyDescent="0.25">
      <c r="A412" s="4">
        <v>2023</v>
      </c>
      <c r="B412" s="4">
        <v>4</v>
      </c>
      <c r="C412" s="12" t="s">
        <v>30</v>
      </c>
      <c r="D412" s="4" t="s">
        <v>20</v>
      </c>
      <c r="E412" s="4" t="s">
        <v>18</v>
      </c>
      <c r="F412" s="4" t="s">
        <v>25</v>
      </c>
      <c r="G412" s="5">
        <v>65232</v>
      </c>
      <c r="H412" s="5">
        <v>400514</v>
      </c>
      <c r="I412" s="4">
        <v>135</v>
      </c>
      <c r="J412" s="4">
        <v>0.97</v>
      </c>
      <c r="K412" s="4">
        <v>6.29</v>
      </c>
      <c r="L412" s="4">
        <v>1.2</v>
      </c>
      <c r="M412" s="4">
        <v>10</v>
      </c>
      <c r="N412" s="4">
        <v>319</v>
      </c>
      <c r="O412" s="4" t="str">
        <f t="shared" si="12"/>
        <v>EMI</v>
      </c>
      <c r="P412" s="5">
        <f t="shared" si="13"/>
        <v>66014.784</v>
      </c>
    </row>
    <row r="413" spans="1:16" x14ac:dyDescent="0.25">
      <c r="A413" s="4">
        <v>2019</v>
      </c>
      <c r="B413" s="4">
        <v>1</v>
      </c>
      <c r="C413" s="12" t="s">
        <v>33</v>
      </c>
      <c r="D413" s="4" t="s">
        <v>27</v>
      </c>
      <c r="E413" s="4" t="s">
        <v>18</v>
      </c>
      <c r="F413" s="4" t="s">
        <v>25</v>
      </c>
      <c r="G413" s="5">
        <v>96497</v>
      </c>
      <c r="H413" s="5">
        <v>438681</v>
      </c>
      <c r="I413" s="4">
        <v>76</v>
      </c>
      <c r="J413" s="4">
        <v>0.97</v>
      </c>
      <c r="K413" s="4">
        <v>6.29</v>
      </c>
      <c r="L413" s="4">
        <v>1.2</v>
      </c>
      <c r="M413" s="4">
        <v>7</v>
      </c>
      <c r="N413" s="4">
        <v>369</v>
      </c>
      <c r="O413" s="4" t="str">
        <f t="shared" si="12"/>
        <v>EMI</v>
      </c>
      <c r="P413" s="5">
        <f t="shared" si="13"/>
        <v>97654.964000000007</v>
      </c>
    </row>
    <row r="414" spans="1:16" x14ac:dyDescent="0.25">
      <c r="A414" s="4">
        <v>2015</v>
      </c>
      <c r="B414" s="4">
        <v>5</v>
      </c>
      <c r="C414" s="12" t="s">
        <v>19</v>
      </c>
      <c r="D414" s="4" t="s">
        <v>31</v>
      </c>
      <c r="E414" s="4" t="s">
        <v>14</v>
      </c>
      <c r="F414" s="4" t="s">
        <v>25</v>
      </c>
      <c r="G414" s="5">
        <v>109024</v>
      </c>
      <c r="H414" s="5">
        <v>489978</v>
      </c>
      <c r="I414" s="4">
        <v>39</v>
      </c>
      <c r="J414" s="4">
        <v>0.97</v>
      </c>
      <c r="K414" s="4">
        <v>6.29</v>
      </c>
      <c r="L414" s="4">
        <v>1.2</v>
      </c>
      <c r="M414" s="4">
        <v>9</v>
      </c>
      <c r="N414" s="4">
        <v>493</v>
      </c>
      <c r="O414" s="4" t="str">
        <f t="shared" si="12"/>
        <v>EMI</v>
      </c>
      <c r="P414" s="5">
        <f t="shared" si="13"/>
        <v>110332.288</v>
      </c>
    </row>
    <row r="415" spans="1:16" x14ac:dyDescent="0.25">
      <c r="A415" s="4">
        <v>2018</v>
      </c>
      <c r="B415" s="4">
        <v>12</v>
      </c>
      <c r="C415" s="12" t="s">
        <v>23</v>
      </c>
      <c r="D415" s="4" t="s">
        <v>16</v>
      </c>
      <c r="E415" s="4" t="s">
        <v>17</v>
      </c>
      <c r="F415" s="4" t="s">
        <v>15</v>
      </c>
      <c r="G415" s="5">
        <v>86448</v>
      </c>
      <c r="H415" s="5">
        <v>154824</v>
      </c>
      <c r="I415" s="4">
        <v>123</v>
      </c>
      <c r="J415" s="4">
        <v>0.97</v>
      </c>
      <c r="K415" s="4">
        <v>6.29</v>
      </c>
      <c r="L415" s="4">
        <v>1.2</v>
      </c>
      <c r="M415" s="4">
        <v>7</v>
      </c>
      <c r="N415" s="4">
        <v>581</v>
      </c>
      <c r="O415" s="4" t="str">
        <f t="shared" si="12"/>
        <v>EMI</v>
      </c>
      <c r="P415" s="5">
        <f t="shared" si="13"/>
        <v>87485.376000000004</v>
      </c>
    </row>
    <row r="416" spans="1:16" x14ac:dyDescent="0.25">
      <c r="A416" s="4">
        <v>2019</v>
      </c>
      <c r="B416" s="4">
        <v>9</v>
      </c>
      <c r="C416" s="12" t="s">
        <v>19</v>
      </c>
      <c r="D416" s="4" t="s">
        <v>27</v>
      </c>
      <c r="E416" s="4" t="s">
        <v>17</v>
      </c>
      <c r="F416" s="4" t="s">
        <v>15</v>
      </c>
      <c r="G416" s="5">
        <v>119517</v>
      </c>
      <c r="H416" s="5">
        <v>138741</v>
      </c>
      <c r="I416" s="4">
        <v>213</v>
      </c>
      <c r="J416" s="4">
        <v>0.97</v>
      </c>
      <c r="K416" s="4">
        <v>6.29</v>
      </c>
      <c r="L416" s="4">
        <v>1.2</v>
      </c>
      <c r="M416" s="4">
        <v>3</v>
      </c>
      <c r="N416" s="4">
        <v>517</v>
      </c>
      <c r="O416" s="4" t="str">
        <f t="shared" si="12"/>
        <v>EMI</v>
      </c>
      <c r="P416" s="5">
        <f t="shared" si="13"/>
        <v>120951.204</v>
      </c>
    </row>
    <row r="417" spans="1:16" x14ac:dyDescent="0.25">
      <c r="A417" s="4">
        <v>2024</v>
      </c>
      <c r="B417" s="4">
        <v>8</v>
      </c>
      <c r="C417" s="12" t="s">
        <v>12</v>
      </c>
      <c r="D417" s="4" t="s">
        <v>16</v>
      </c>
      <c r="E417" s="4" t="s">
        <v>18</v>
      </c>
      <c r="F417" s="4" t="s">
        <v>15</v>
      </c>
      <c r="G417" s="5">
        <v>35901</v>
      </c>
      <c r="H417" s="5">
        <v>68830</v>
      </c>
      <c r="I417" s="4">
        <v>38</v>
      </c>
      <c r="J417" s="4">
        <v>0.97</v>
      </c>
      <c r="K417" s="4">
        <v>6.29</v>
      </c>
      <c r="L417" s="4">
        <v>1.2</v>
      </c>
      <c r="M417" s="4">
        <v>6</v>
      </c>
      <c r="N417" s="4">
        <v>207</v>
      </c>
      <c r="O417" s="4" t="str">
        <f t="shared" si="12"/>
        <v>EMI</v>
      </c>
      <c r="P417" s="5">
        <f t="shared" si="13"/>
        <v>36331.811999999998</v>
      </c>
    </row>
    <row r="418" spans="1:16" x14ac:dyDescent="0.25">
      <c r="A418" s="4">
        <v>2024</v>
      </c>
      <c r="B418" s="4">
        <v>12</v>
      </c>
      <c r="C418" s="12" t="s">
        <v>23</v>
      </c>
      <c r="D418" s="4" t="s">
        <v>27</v>
      </c>
      <c r="E418" s="4" t="s">
        <v>18</v>
      </c>
      <c r="F418" s="4" t="s">
        <v>21</v>
      </c>
      <c r="G418" s="5">
        <v>118597</v>
      </c>
      <c r="H418" s="5">
        <v>367188</v>
      </c>
      <c r="I418" s="4">
        <v>140</v>
      </c>
      <c r="J418" s="4">
        <v>0.97</v>
      </c>
      <c r="K418" s="4">
        <v>6.29</v>
      </c>
      <c r="L418" s="4">
        <v>1.2</v>
      </c>
      <c r="M418" s="4">
        <v>7</v>
      </c>
      <c r="N418" s="4">
        <v>281</v>
      </c>
      <c r="O418" s="4" t="str">
        <f t="shared" si="12"/>
        <v>EMI</v>
      </c>
      <c r="P418" s="5">
        <f t="shared" si="13"/>
        <v>120020.164</v>
      </c>
    </row>
    <row r="419" spans="1:16" x14ac:dyDescent="0.25">
      <c r="A419" s="4">
        <v>2019</v>
      </c>
      <c r="B419" s="4">
        <v>9</v>
      </c>
      <c r="C419" s="12" t="s">
        <v>23</v>
      </c>
      <c r="D419" s="4" t="s">
        <v>24</v>
      </c>
      <c r="E419" s="4" t="s">
        <v>18</v>
      </c>
      <c r="F419" s="4" t="s">
        <v>18</v>
      </c>
      <c r="G419" s="5">
        <v>37881</v>
      </c>
      <c r="H419" s="5">
        <v>386092</v>
      </c>
      <c r="I419" s="4">
        <v>194</v>
      </c>
      <c r="J419" s="4">
        <v>0.97</v>
      </c>
      <c r="K419" s="4">
        <v>6.29</v>
      </c>
      <c r="L419" s="4">
        <v>1.2</v>
      </c>
      <c r="M419" s="4">
        <v>2</v>
      </c>
      <c r="N419" s="4">
        <v>775</v>
      </c>
      <c r="O419" s="4" t="str">
        <f t="shared" si="12"/>
        <v>Discount</v>
      </c>
      <c r="P419" s="5">
        <f t="shared" si="13"/>
        <v>34092.9</v>
      </c>
    </row>
    <row r="420" spans="1:16" x14ac:dyDescent="0.25">
      <c r="A420" s="4">
        <v>2021</v>
      </c>
      <c r="B420" s="4">
        <v>10</v>
      </c>
      <c r="C420" s="12" t="s">
        <v>19</v>
      </c>
      <c r="D420" s="4" t="s">
        <v>27</v>
      </c>
      <c r="E420" s="4" t="s">
        <v>17</v>
      </c>
      <c r="F420" s="4" t="s">
        <v>25</v>
      </c>
      <c r="G420" s="5">
        <v>64863</v>
      </c>
      <c r="H420" s="5">
        <v>119202</v>
      </c>
      <c r="I420" s="4">
        <v>262</v>
      </c>
      <c r="J420" s="4">
        <v>0.97</v>
      </c>
      <c r="K420" s="4">
        <v>6.29</v>
      </c>
      <c r="L420" s="4">
        <v>1.2</v>
      </c>
      <c r="M420" s="4">
        <v>3</v>
      </c>
      <c r="N420" s="4">
        <v>724</v>
      </c>
      <c r="O420" s="4" t="str">
        <f t="shared" si="12"/>
        <v>EMI</v>
      </c>
      <c r="P420" s="5">
        <f t="shared" si="13"/>
        <v>65641.356</v>
      </c>
    </row>
    <row r="421" spans="1:16" x14ac:dyDescent="0.25">
      <c r="A421" s="4">
        <v>2018</v>
      </c>
      <c r="B421" s="4">
        <v>9</v>
      </c>
      <c r="C421" s="12" t="s">
        <v>34</v>
      </c>
      <c r="D421" s="4" t="s">
        <v>32</v>
      </c>
      <c r="E421" s="4" t="s">
        <v>14</v>
      </c>
      <c r="F421" s="4" t="s">
        <v>21</v>
      </c>
      <c r="G421" s="5">
        <v>40622</v>
      </c>
      <c r="H421" s="5">
        <v>349189</v>
      </c>
      <c r="I421" s="4">
        <v>295</v>
      </c>
      <c r="J421" s="4">
        <v>0.97</v>
      </c>
      <c r="K421" s="4">
        <v>6.29</v>
      </c>
      <c r="L421" s="4">
        <v>1.2</v>
      </c>
      <c r="M421" s="4">
        <v>4</v>
      </c>
      <c r="N421" s="4">
        <v>664</v>
      </c>
      <c r="O421" s="4" t="str">
        <f t="shared" si="12"/>
        <v>EMI</v>
      </c>
      <c r="P421" s="5">
        <f t="shared" si="13"/>
        <v>41109.464</v>
      </c>
    </row>
    <row r="422" spans="1:16" x14ac:dyDescent="0.25">
      <c r="A422" s="4">
        <v>2015</v>
      </c>
      <c r="B422" s="4">
        <v>7</v>
      </c>
      <c r="C422" s="12" t="s">
        <v>19</v>
      </c>
      <c r="D422" s="4" t="s">
        <v>27</v>
      </c>
      <c r="E422" s="4" t="s">
        <v>14</v>
      </c>
      <c r="F422" s="4" t="s">
        <v>25</v>
      </c>
      <c r="G422" s="5">
        <v>36378</v>
      </c>
      <c r="H422" s="5">
        <v>267394</v>
      </c>
      <c r="I422" s="4">
        <v>395</v>
      </c>
      <c r="J422" s="4">
        <v>0.97</v>
      </c>
      <c r="K422" s="4">
        <v>6.29</v>
      </c>
      <c r="L422" s="4">
        <v>1.2</v>
      </c>
      <c r="M422" s="4">
        <v>10</v>
      </c>
      <c r="N422" s="4">
        <v>953</v>
      </c>
      <c r="O422" s="4" t="str">
        <f t="shared" si="12"/>
        <v>EMI</v>
      </c>
      <c r="P422" s="5">
        <f t="shared" si="13"/>
        <v>36814.536</v>
      </c>
    </row>
    <row r="423" spans="1:16" x14ac:dyDescent="0.25">
      <c r="A423" s="4">
        <v>2019</v>
      </c>
      <c r="B423" s="4">
        <v>4</v>
      </c>
      <c r="C423" s="12" t="s">
        <v>33</v>
      </c>
      <c r="D423" s="4" t="s">
        <v>29</v>
      </c>
      <c r="E423" s="4" t="s">
        <v>17</v>
      </c>
      <c r="F423" s="4" t="s">
        <v>15</v>
      </c>
      <c r="G423" s="5">
        <v>118168</v>
      </c>
      <c r="H423" s="5">
        <v>252123</v>
      </c>
      <c r="I423" s="4">
        <v>71</v>
      </c>
      <c r="J423" s="4">
        <v>0.97</v>
      </c>
      <c r="K423" s="4">
        <v>6.29</v>
      </c>
      <c r="L423" s="4">
        <v>1.2</v>
      </c>
      <c r="M423" s="4">
        <v>6</v>
      </c>
      <c r="N423" s="4">
        <v>187</v>
      </c>
      <c r="O423" s="4" t="str">
        <f t="shared" si="12"/>
        <v>EMI</v>
      </c>
      <c r="P423" s="5">
        <f t="shared" si="13"/>
        <v>119586.016</v>
      </c>
    </row>
    <row r="424" spans="1:16" x14ac:dyDescent="0.25">
      <c r="A424" s="4">
        <v>2021</v>
      </c>
      <c r="B424" s="4">
        <v>5</v>
      </c>
      <c r="C424" s="12" t="s">
        <v>34</v>
      </c>
      <c r="D424" s="4" t="s">
        <v>29</v>
      </c>
      <c r="E424" s="4" t="s">
        <v>14</v>
      </c>
      <c r="F424" s="4" t="s">
        <v>21</v>
      </c>
      <c r="G424" s="5">
        <v>106186</v>
      </c>
      <c r="H424" s="5">
        <v>419653</v>
      </c>
      <c r="I424" s="4">
        <v>12</v>
      </c>
      <c r="J424" s="4">
        <v>0.97</v>
      </c>
      <c r="K424" s="4">
        <v>6.29</v>
      </c>
      <c r="L424" s="4">
        <v>1.2</v>
      </c>
      <c r="M424" s="4">
        <v>1</v>
      </c>
      <c r="N424" s="4">
        <v>305</v>
      </c>
      <c r="O424" s="4" t="str">
        <f t="shared" si="12"/>
        <v>Discount</v>
      </c>
      <c r="P424" s="5">
        <f t="shared" si="13"/>
        <v>95567.400000000009</v>
      </c>
    </row>
    <row r="425" spans="1:16" x14ac:dyDescent="0.25">
      <c r="A425" s="4">
        <v>2024</v>
      </c>
      <c r="B425" s="4">
        <v>1</v>
      </c>
      <c r="C425" s="12" t="s">
        <v>33</v>
      </c>
      <c r="D425" s="4" t="s">
        <v>22</v>
      </c>
      <c r="E425" s="4" t="s">
        <v>18</v>
      </c>
      <c r="F425" s="4" t="s">
        <v>15</v>
      </c>
      <c r="G425" s="5">
        <v>80201</v>
      </c>
      <c r="H425" s="5">
        <v>207699</v>
      </c>
      <c r="I425" s="4">
        <v>77</v>
      </c>
      <c r="J425" s="4">
        <v>0.97</v>
      </c>
      <c r="K425" s="4">
        <v>6.29</v>
      </c>
      <c r="L425" s="4">
        <v>1.2</v>
      </c>
      <c r="M425" s="4">
        <v>9</v>
      </c>
      <c r="N425" s="4">
        <v>525</v>
      </c>
      <c r="O425" s="4" t="str">
        <f t="shared" si="12"/>
        <v>EMI</v>
      </c>
      <c r="P425" s="5">
        <f t="shared" si="13"/>
        <v>81163.411999999997</v>
      </c>
    </row>
    <row r="426" spans="1:16" x14ac:dyDescent="0.25">
      <c r="A426" s="4">
        <v>2024</v>
      </c>
      <c r="B426" s="4">
        <v>1</v>
      </c>
      <c r="C426" s="12" t="s">
        <v>12</v>
      </c>
      <c r="D426" s="4" t="s">
        <v>32</v>
      </c>
      <c r="E426" s="4" t="s">
        <v>14</v>
      </c>
      <c r="F426" s="4" t="s">
        <v>25</v>
      </c>
      <c r="G426" s="5">
        <v>94251</v>
      </c>
      <c r="H426" s="5">
        <v>327342</v>
      </c>
      <c r="I426" s="4">
        <v>34</v>
      </c>
      <c r="J426" s="4">
        <v>0.97</v>
      </c>
      <c r="K426" s="4">
        <v>6.29</v>
      </c>
      <c r="L426" s="4">
        <v>1.2</v>
      </c>
      <c r="M426" s="4">
        <v>5</v>
      </c>
      <c r="N426" s="4">
        <v>451</v>
      </c>
      <c r="O426" s="4" t="str">
        <f t="shared" si="12"/>
        <v>EMI</v>
      </c>
      <c r="P426" s="5">
        <f t="shared" si="13"/>
        <v>95382.012000000002</v>
      </c>
    </row>
    <row r="427" spans="1:16" x14ac:dyDescent="0.25">
      <c r="A427" s="4">
        <v>2020</v>
      </c>
      <c r="B427" s="4">
        <v>3</v>
      </c>
      <c r="C427" s="12" t="s">
        <v>30</v>
      </c>
      <c r="D427" s="4" t="s">
        <v>32</v>
      </c>
      <c r="E427" s="4" t="s">
        <v>14</v>
      </c>
      <c r="F427" s="4" t="s">
        <v>25</v>
      </c>
      <c r="G427" s="5">
        <v>107572</v>
      </c>
      <c r="H427" s="5">
        <v>381665</v>
      </c>
      <c r="I427" s="4">
        <v>188</v>
      </c>
      <c r="J427" s="4">
        <v>0.97</v>
      </c>
      <c r="K427" s="4">
        <v>6.29</v>
      </c>
      <c r="L427" s="4">
        <v>1.2</v>
      </c>
      <c r="M427" s="4">
        <v>7</v>
      </c>
      <c r="N427" s="4">
        <v>813</v>
      </c>
      <c r="O427" s="4" t="str">
        <f t="shared" si="12"/>
        <v>EMI</v>
      </c>
      <c r="P427" s="5">
        <f t="shared" si="13"/>
        <v>108862.864</v>
      </c>
    </row>
    <row r="428" spans="1:16" x14ac:dyDescent="0.25">
      <c r="A428" s="4">
        <v>2019</v>
      </c>
      <c r="B428" s="4">
        <v>8</v>
      </c>
      <c r="C428" s="12" t="s">
        <v>36</v>
      </c>
      <c r="D428" s="4" t="s">
        <v>31</v>
      </c>
      <c r="E428" s="4" t="s">
        <v>14</v>
      </c>
      <c r="F428" s="4" t="s">
        <v>18</v>
      </c>
      <c r="G428" s="5">
        <v>74255</v>
      </c>
      <c r="H428" s="5">
        <v>156471</v>
      </c>
      <c r="I428" s="4">
        <v>150</v>
      </c>
      <c r="J428" s="4">
        <v>0.97</v>
      </c>
      <c r="K428" s="4">
        <v>6.29</v>
      </c>
      <c r="L428" s="4">
        <v>1.2</v>
      </c>
      <c r="M428" s="4">
        <v>9</v>
      </c>
      <c r="N428" s="4">
        <v>552</v>
      </c>
      <c r="O428" s="4" t="str">
        <f t="shared" si="12"/>
        <v>EMI</v>
      </c>
      <c r="P428" s="5">
        <f t="shared" si="13"/>
        <v>75146.06</v>
      </c>
    </row>
    <row r="429" spans="1:16" x14ac:dyDescent="0.25">
      <c r="A429" s="4">
        <v>2018</v>
      </c>
      <c r="B429" s="4">
        <v>2</v>
      </c>
      <c r="C429" s="12" t="s">
        <v>34</v>
      </c>
      <c r="D429" s="4" t="s">
        <v>32</v>
      </c>
      <c r="E429" s="4" t="s">
        <v>18</v>
      </c>
      <c r="F429" s="4" t="s">
        <v>25</v>
      </c>
      <c r="G429" s="5">
        <v>98212</v>
      </c>
      <c r="H429" s="5">
        <v>341619</v>
      </c>
      <c r="I429" s="4">
        <v>240</v>
      </c>
      <c r="J429" s="4">
        <v>0.97</v>
      </c>
      <c r="K429" s="4">
        <v>6.29</v>
      </c>
      <c r="L429" s="4">
        <v>1.2</v>
      </c>
      <c r="M429" s="4">
        <v>9</v>
      </c>
      <c r="N429" s="4">
        <v>911</v>
      </c>
      <c r="O429" s="4" t="str">
        <f t="shared" si="12"/>
        <v>EMI</v>
      </c>
      <c r="P429" s="5">
        <f t="shared" si="13"/>
        <v>99390.543999999994</v>
      </c>
    </row>
    <row r="430" spans="1:16" x14ac:dyDescent="0.25">
      <c r="A430" s="4">
        <v>2016</v>
      </c>
      <c r="B430" s="4">
        <v>4</v>
      </c>
      <c r="C430" s="12" t="s">
        <v>12</v>
      </c>
      <c r="D430" s="4" t="s">
        <v>31</v>
      </c>
      <c r="E430" s="4" t="s">
        <v>17</v>
      </c>
      <c r="F430" s="4" t="s">
        <v>15</v>
      </c>
      <c r="G430" s="5">
        <v>85210</v>
      </c>
      <c r="H430" s="5">
        <v>286824</v>
      </c>
      <c r="I430" s="4">
        <v>309</v>
      </c>
      <c r="J430" s="4">
        <v>0.97</v>
      </c>
      <c r="K430" s="4">
        <v>6.29</v>
      </c>
      <c r="L430" s="4">
        <v>1.2</v>
      </c>
      <c r="M430" s="4">
        <v>1</v>
      </c>
      <c r="N430" s="4">
        <v>865</v>
      </c>
      <c r="O430" s="4" t="str">
        <f t="shared" si="12"/>
        <v>Full</v>
      </c>
      <c r="P430" s="5">
        <f t="shared" si="13"/>
        <v>85210</v>
      </c>
    </row>
    <row r="431" spans="1:16" x14ac:dyDescent="0.25">
      <c r="A431" s="4">
        <v>2018</v>
      </c>
      <c r="B431" s="4">
        <v>2</v>
      </c>
      <c r="C431" s="12" t="s">
        <v>35</v>
      </c>
      <c r="D431" s="4" t="s">
        <v>22</v>
      </c>
      <c r="E431" s="4" t="s">
        <v>18</v>
      </c>
      <c r="F431" s="4" t="s">
        <v>25</v>
      </c>
      <c r="G431" s="5">
        <v>57499</v>
      </c>
      <c r="H431" s="5">
        <v>69403</v>
      </c>
      <c r="I431" s="4">
        <v>172</v>
      </c>
      <c r="J431" s="4">
        <v>0.97</v>
      </c>
      <c r="K431" s="4">
        <v>6.29</v>
      </c>
      <c r="L431" s="4">
        <v>1.2</v>
      </c>
      <c r="M431" s="4">
        <v>1</v>
      </c>
      <c r="N431" s="4">
        <v>765</v>
      </c>
      <c r="O431" s="4" t="str">
        <f t="shared" si="12"/>
        <v>Full</v>
      </c>
      <c r="P431" s="5">
        <f t="shared" si="13"/>
        <v>57499</v>
      </c>
    </row>
    <row r="432" spans="1:16" x14ac:dyDescent="0.25">
      <c r="A432" s="4">
        <v>2024</v>
      </c>
      <c r="B432" s="4">
        <v>5</v>
      </c>
      <c r="C432" s="12" t="s">
        <v>12</v>
      </c>
      <c r="D432" s="4" t="s">
        <v>22</v>
      </c>
      <c r="E432" s="4" t="s">
        <v>17</v>
      </c>
      <c r="F432" s="4" t="s">
        <v>18</v>
      </c>
      <c r="G432" s="5">
        <v>86628</v>
      </c>
      <c r="H432" s="5">
        <v>53681</v>
      </c>
      <c r="I432" s="4">
        <v>320</v>
      </c>
      <c r="J432" s="4">
        <v>0.97</v>
      </c>
      <c r="K432" s="4">
        <v>6.29</v>
      </c>
      <c r="L432" s="4">
        <v>1.2</v>
      </c>
      <c r="M432" s="4">
        <v>3</v>
      </c>
      <c r="N432" s="4">
        <v>638</v>
      </c>
      <c r="O432" s="4" t="str">
        <f t="shared" si="12"/>
        <v>EMI</v>
      </c>
      <c r="P432" s="5">
        <f t="shared" si="13"/>
        <v>87667.536000000007</v>
      </c>
    </row>
    <row r="433" spans="1:16" x14ac:dyDescent="0.25">
      <c r="A433" s="4">
        <v>2024</v>
      </c>
      <c r="B433" s="4">
        <v>9</v>
      </c>
      <c r="C433" s="12" t="s">
        <v>19</v>
      </c>
      <c r="D433" s="4" t="s">
        <v>24</v>
      </c>
      <c r="E433" s="4" t="s">
        <v>17</v>
      </c>
      <c r="F433" s="4" t="s">
        <v>18</v>
      </c>
      <c r="G433" s="5">
        <v>96360</v>
      </c>
      <c r="H433" s="5">
        <v>403699</v>
      </c>
      <c r="I433" s="4">
        <v>139</v>
      </c>
      <c r="J433" s="4">
        <v>0.97</v>
      </c>
      <c r="K433" s="4">
        <v>6.29</v>
      </c>
      <c r="L433" s="4">
        <v>1.2</v>
      </c>
      <c r="M433" s="4">
        <v>6</v>
      </c>
      <c r="N433" s="4">
        <v>313</v>
      </c>
      <c r="O433" s="4" t="str">
        <f t="shared" si="12"/>
        <v>EMI</v>
      </c>
      <c r="P433" s="5">
        <f t="shared" si="13"/>
        <v>97516.32</v>
      </c>
    </row>
    <row r="434" spans="1:16" x14ac:dyDescent="0.25">
      <c r="A434" s="4">
        <v>2017</v>
      </c>
      <c r="B434" s="4">
        <v>1</v>
      </c>
      <c r="C434" s="12" t="s">
        <v>19</v>
      </c>
      <c r="D434" s="4" t="s">
        <v>29</v>
      </c>
      <c r="E434" s="4" t="s">
        <v>17</v>
      </c>
      <c r="F434" s="4" t="s">
        <v>15</v>
      </c>
      <c r="G434" s="5">
        <v>39603</v>
      </c>
      <c r="H434" s="5">
        <v>431028</v>
      </c>
      <c r="I434" s="4">
        <v>255</v>
      </c>
      <c r="J434" s="4">
        <v>0.97</v>
      </c>
      <c r="K434" s="4">
        <v>6.29</v>
      </c>
      <c r="L434" s="4">
        <v>1.2</v>
      </c>
      <c r="M434" s="4">
        <v>2</v>
      </c>
      <c r="N434" s="4">
        <v>778</v>
      </c>
      <c r="O434" s="4" t="str">
        <f t="shared" si="12"/>
        <v>Discount</v>
      </c>
      <c r="P434" s="5">
        <f t="shared" si="13"/>
        <v>35642.700000000004</v>
      </c>
    </row>
    <row r="435" spans="1:16" x14ac:dyDescent="0.25">
      <c r="A435" s="4">
        <v>2024</v>
      </c>
      <c r="B435" s="4">
        <v>5</v>
      </c>
      <c r="C435" s="12" t="s">
        <v>36</v>
      </c>
      <c r="D435" s="4" t="s">
        <v>27</v>
      </c>
      <c r="E435" s="4" t="s">
        <v>14</v>
      </c>
      <c r="F435" s="4" t="s">
        <v>21</v>
      </c>
      <c r="G435" s="5">
        <v>47632</v>
      </c>
      <c r="H435" s="5">
        <v>405266</v>
      </c>
      <c r="I435" s="4">
        <v>306</v>
      </c>
      <c r="J435" s="4">
        <v>0.97</v>
      </c>
      <c r="K435" s="4">
        <v>6.29</v>
      </c>
      <c r="L435" s="4">
        <v>1.2</v>
      </c>
      <c r="M435" s="4">
        <v>10</v>
      </c>
      <c r="N435" s="4">
        <v>947</v>
      </c>
      <c r="O435" s="4" t="str">
        <f t="shared" si="12"/>
        <v>EMI</v>
      </c>
      <c r="P435" s="5">
        <f t="shared" si="13"/>
        <v>48203.584000000003</v>
      </c>
    </row>
    <row r="436" spans="1:16" x14ac:dyDescent="0.25">
      <c r="A436" s="4">
        <v>2015</v>
      </c>
      <c r="B436" s="4">
        <v>9</v>
      </c>
      <c r="C436" s="12" t="s">
        <v>12</v>
      </c>
      <c r="D436" s="4" t="s">
        <v>27</v>
      </c>
      <c r="E436" s="4" t="s">
        <v>14</v>
      </c>
      <c r="F436" s="4" t="s">
        <v>25</v>
      </c>
      <c r="G436" s="5">
        <v>65607</v>
      </c>
      <c r="H436" s="5">
        <v>165260</v>
      </c>
      <c r="I436" s="4">
        <v>181</v>
      </c>
      <c r="J436" s="4">
        <v>0.97</v>
      </c>
      <c r="K436" s="4">
        <v>6.29</v>
      </c>
      <c r="L436" s="4">
        <v>1.2</v>
      </c>
      <c r="M436" s="4">
        <v>1</v>
      </c>
      <c r="N436" s="4">
        <v>588</v>
      </c>
      <c r="O436" s="4" t="str">
        <f t="shared" si="12"/>
        <v>Full</v>
      </c>
      <c r="P436" s="5">
        <f t="shared" si="13"/>
        <v>65607</v>
      </c>
    </row>
    <row r="437" spans="1:16" x14ac:dyDescent="0.25">
      <c r="A437" s="4">
        <v>2022</v>
      </c>
      <c r="B437" s="4">
        <v>1</v>
      </c>
      <c r="C437" s="12" t="s">
        <v>28</v>
      </c>
      <c r="D437" s="4" t="s">
        <v>37</v>
      </c>
      <c r="E437" s="4" t="s">
        <v>17</v>
      </c>
      <c r="F437" s="4" t="s">
        <v>18</v>
      </c>
      <c r="G437" s="5">
        <v>100756</v>
      </c>
      <c r="H437" s="5">
        <v>223364</v>
      </c>
      <c r="I437" s="4">
        <v>73</v>
      </c>
      <c r="J437" s="4">
        <v>0.97</v>
      </c>
      <c r="K437" s="4">
        <v>6.29</v>
      </c>
      <c r="L437" s="4">
        <v>1.2</v>
      </c>
      <c r="M437" s="4">
        <v>1</v>
      </c>
      <c r="N437" s="4">
        <v>517</v>
      </c>
      <c r="O437" s="4" t="str">
        <f t="shared" si="12"/>
        <v>Full</v>
      </c>
      <c r="P437" s="5">
        <f t="shared" si="13"/>
        <v>100756</v>
      </c>
    </row>
    <row r="438" spans="1:16" x14ac:dyDescent="0.25">
      <c r="A438" s="4">
        <v>2019</v>
      </c>
      <c r="B438" s="4">
        <v>9</v>
      </c>
      <c r="C438" s="12" t="s">
        <v>30</v>
      </c>
      <c r="D438" s="4" t="s">
        <v>37</v>
      </c>
      <c r="E438" s="4" t="s">
        <v>17</v>
      </c>
      <c r="F438" s="4" t="s">
        <v>25</v>
      </c>
      <c r="G438" s="5">
        <v>81994</v>
      </c>
      <c r="H438" s="5">
        <v>155386</v>
      </c>
      <c r="I438" s="4">
        <v>40</v>
      </c>
      <c r="J438" s="4">
        <v>0.97</v>
      </c>
      <c r="K438" s="4">
        <v>6.29</v>
      </c>
      <c r="L438" s="4">
        <v>1.2</v>
      </c>
      <c r="M438" s="4">
        <v>5</v>
      </c>
      <c r="N438" s="4">
        <v>192</v>
      </c>
      <c r="O438" s="4" t="str">
        <f t="shared" si="12"/>
        <v>EMI</v>
      </c>
      <c r="P438" s="5">
        <f t="shared" si="13"/>
        <v>82977.928</v>
      </c>
    </row>
    <row r="439" spans="1:16" x14ac:dyDescent="0.25">
      <c r="A439" s="4">
        <v>2018</v>
      </c>
      <c r="B439" s="4">
        <v>8</v>
      </c>
      <c r="C439" s="12" t="s">
        <v>19</v>
      </c>
      <c r="D439" s="4" t="s">
        <v>13</v>
      </c>
      <c r="E439" s="4" t="s">
        <v>14</v>
      </c>
      <c r="F439" s="4" t="s">
        <v>25</v>
      </c>
      <c r="G439" s="5">
        <v>98382</v>
      </c>
      <c r="H439" s="5">
        <v>283378</v>
      </c>
      <c r="I439" s="4">
        <v>56</v>
      </c>
      <c r="J439" s="4">
        <v>0.97</v>
      </c>
      <c r="K439" s="4">
        <v>6.29</v>
      </c>
      <c r="L439" s="4">
        <v>1.2</v>
      </c>
      <c r="M439" s="4">
        <v>4</v>
      </c>
      <c r="N439" s="4">
        <v>400</v>
      </c>
      <c r="O439" s="4" t="str">
        <f t="shared" si="12"/>
        <v>EMI</v>
      </c>
      <c r="P439" s="5">
        <f t="shared" si="13"/>
        <v>99562.584000000003</v>
      </c>
    </row>
    <row r="440" spans="1:16" x14ac:dyDescent="0.25">
      <c r="A440" s="4">
        <v>2022</v>
      </c>
      <c r="B440" s="4">
        <v>4</v>
      </c>
      <c r="C440" s="12" t="s">
        <v>36</v>
      </c>
      <c r="D440" s="4" t="s">
        <v>16</v>
      </c>
      <c r="E440" s="4" t="s">
        <v>18</v>
      </c>
      <c r="F440" s="4" t="s">
        <v>21</v>
      </c>
      <c r="G440" s="5">
        <v>105354</v>
      </c>
      <c r="H440" s="5">
        <v>448845</v>
      </c>
      <c r="I440" s="4">
        <v>139</v>
      </c>
      <c r="J440" s="4">
        <v>0.97</v>
      </c>
      <c r="K440" s="4">
        <v>6.29</v>
      </c>
      <c r="L440" s="4">
        <v>1.2</v>
      </c>
      <c r="M440" s="4">
        <v>1</v>
      </c>
      <c r="N440" s="4">
        <v>469</v>
      </c>
      <c r="O440" s="4" t="str">
        <f t="shared" si="12"/>
        <v>Discount</v>
      </c>
      <c r="P440" s="5">
        <f t="shared" si="13"/>
        <v>94818.6</v>
      </c>
    </row>
    <row r="441" spans="1:16" x14ac:dyDescent="0.25">
      <c r="A441" s="4">
        <v>2021</v>
      </c>
      <c r="B441" s="4">
        <v>12</v>
      </c>
      <c r="C441" s="12" t="s">
        <v>30</v>
      </c>
      <c r="D441" s="4" t="s">
        <v>24</v>
      </c>
      <c r="E441" s="4" t="s">
        <v>17</v>
      </c>
      <c r="F441" s="4" t="s">
        <v>18</v>
      </c>
      <c r="G441" s="5">
        <v>91344</v>
      </c>
      <c r="H441" s="5">
        <v>143246</v>
      </c>
      <c r="I441" s="4">
        <v>361</v>
      </c>
      <c r="J441" s="4">
        <v>0.97</v>
      </c>
      <c r="K441" s="4">
        <v>6.29</v>
      </c>
      <c r="L441" s="4">
        <v>1.2</v>
      </c>
      <c r="M441" s="4">
        <v>4</v>
      </c>
      <c r="N441" s="4">
        <v>884</v>
      </c>
      <c r="O441" s="4" t="str">
        <f t="shared" si="12"/>
        <v>EMI</v>
      </c>
      <c r="P441" s="5">
        <f t="shared" si="13"/>
        <v>92440.127999999997</v>
      </c>
    </row>
    <row r="442" spans="1:16" x14ac:dyDescent="0.25">
      <c r="A442" s="4">
        <v>2016</v>
      </c>
      <c r="B442" s="4">
        <v>11</v>
      </c>
      <c r="C442" s="12" t="s">
        <v>12</v>
      </c>
      <c r="D442" s="4" t="s">
        <v>13</v>
      </c>
      <c r="E442" s="4" t="s">
        <v>18</v>
      </c>
      <c r="F442" s="4" t="s">
        <v>25</v>
      </c>
      <c r="G442" s="5">
        <v>88775</v>
      </c>
      <c r="H442" s="5">
        <v>145864</v>
      </c>
      <c r="I442" s="4">
        <v>342</v>
      </c>
      <c r="J442" s="4">
        <v>0.97</v>
      </c>
      <c r="K442" s="4">
        <v>6.29</v>
      </c>
      <c r="L442" s="4">
        <v>1.2</v>
      </c>
      <c r="M442" s="4">
        <v>3</v>
      </c>
      <c r="N442" s="4">
        <v>910</v>
      </c>
      <c r="O442" s="4" t="str">
        <f t="shared" si="12"/>
        <v>EMI</v>
      </c>
      <c r="P442" s="5">
        <f t="shared" si="13"/>
        <v>89840.3</v>
      </c>
    </row>
    <row r="443" spans="1:16" x14ac:dyDescent="0.25">
      <c r="A443" s="4">
        <v>2015</v>
      </c>
      <c r="B443" s="4">
        <v>10</v>
      </c>
      <c r="C443" s="12" t="s">
        <v>12</v>
      </c>
      <c r="D443" s="4" t="s">
        <v>13</v>
      </c>
      <c r="E443" s="4" t="s">
        <v>14</v>
      </c>
      <c r="F443" s="4" t="s">
        <v>18</v>
      </c>
      <c r="G443" s="5">
        <v>42349</v>
      </c>
      <c r="H443" s="5">
        <v>258886</v>
      </c>
      <c r="I443" s="4">
        <v>119</v>
      </c>
      <c r="J443" s="4">
        <v>0.97</v>
      </c>
      <c r="K443" s="4">
        <v>6.29</v>
      </c>
      <c r="L443" s="4">
        <v>1.2</v>
      </c>
      <c r="M443" s="4">
        <v>2</v>
      </c>
      <c r="N443" s="4">
        <v>372</v>
      </c>
      <c r="O443" s="4" t="str">
        <f t="shared" si="12"/>
        <v>Full</v>
      </c>
      <c r="P443" s="5">
        <f t="shared" si="13"/>
        <v>42349</v>
      </c>
    </row>
    <row r="444" spans="1:16" x14ac:dyDescent="0.25">
      <c r="A444" s="4">
        <v>2018</v>
      </c>
      <c r="B444" s="4">
        <v>5</v>
      </c>
      <c r="C444" s="12" t="s">
        <v>23</v>
      </c>
      <c r="D444" s="4" t="s">
        <v>20</v>
      </c>
      <c r="E444" s="4" t="s">
        <v>17</v>
      </c>
      <c r="F444" s="4" t="s">
        <v>15</v>
      </c>
      <c r="G444" s="5">
        <v>106154</v>
      </c>
      <c r="H444" s="5">
        <v>320561</v>
      </c>
      <c r="I444" s="4">
        <v>78</v>
      </c>
      <c r="J444" s="4">
        <v>0.97</v>
      </c>
      <c r="K444" s="4">
        <v>6.29</v>
      </c>
      <c r="L444" s="4">
        <v>1.2</v>
      </c>
      <c r="M444" s="4">
        <v>9</v>
      </c>
      <c r="N444" s="4">
        <v>305</v>
      </c>
      <c r="O444" s="4" t="str">
        <f t="shared" si="12"/>
        <v>EMI</v>
      </c>
      <c r="P444" s="5">
        <f t="shared" si="13"/>
        <v>107427.848</v>
      </c>
    </row>
    <row r="445" spans="1:16" x14ac:dyDescent="0.25">
      <c r="A445" s="4">
        <v>2022</v>
      </c>
      <c r="B445" s="4">
        <v>5</v>
      </c>
      <c r="C445" s="12" t="s">
        <v>36</v>
      </c>
      <c r="D445" s="4" t="s">
        <v>20</v>
      </c>
      <c r="E445" s="4" t="s">
        <v>18</v>
      </c>
      <c r="F445" s="4" t="s">
        <v>15</v>
      </c>
      <c r="G445" s="5">
        <v>62464</v>
      </c>
      <c r="H445" s="5">
        <v>431032</v>
      </c>
      <c r="I445" s="4">
        <v>67</v>
      </c>
      <c r="J445" s="4">
        <v>0.97</v>
      </c>
      <c r="K445" s="4">
        <v>6.29</v>
      </c>
      <c r="L445" s="4">
        <v>1.2</v>
      </c>
      <c r="M445" s="4">
        <v>1</v>
      </c>
      <c r="N445" s="4">
        <v>636</v>
      </c>
      <c r="O445" s="4" t="str">
        <f t="shared" si="12"/>
        <v>Discount</v>
      </c>
      <c r="P445" s="5">
        <f t="shared" si="13"/>
        <v>56217.599999999999</v>
      </c>
    </row>
    <row r="446" spans="1:16" x14ac:dyDescent="0.25">
      <c r="A446" s="4">
        <v>2016</v>
      </c>
      <c r="B446" s="4">
        <v>11</v>
      </c>
      <c r="C446" s="12" t="s">
        <v>19</v>
      </c>
      <c r="D446" s="4" t="s">
        <v>13</v>
      </c>
      <c r="E446" s="4" t="s">
        <v>18</v>
      </c>
      <c r="F446" s="4" t="s">
        <v>25</v>
      </c>
      <c r="G446" s="5">
        <v>77624</v>
      </c>
      <c r="H446" s="5">
        <v>215837</v>
      </c>
      <c r="I446" s="4">
        <v>115</v>
      </c>
      <c r="J446" s="4">
        <v>0.97</v>
      </c>
      <c r="K446" s="4">
        <v>6.29</v>
      </c>
      <c r="L446" s="4">
        <v>1.2</v>
      </c>
      <c r="M446" s="4">
        <v>7</v>
      </c>
      <c r="N446" s="4">
        <v>433</v>
      </c>
      <c r="O446" s="4" t="str">
        <f t="shared" si="12"/>
        <v>EMI</v>
      </c>
      <c r="P446" s="5">
        <f t="shared" si="13"/>
        <v>78555.487999999998</v>
      </c>
    </row>
    <row r="447" spans="1:16" x14ac:dyDescent="0.25">
      <c r="A447" s="4">
        <v>2017</v>
      </c>
      <c r="B447" s="4">
        <v>12</v>
      </c>
      <c r="C447" s="12" t="s">
        <v>28</v>
      </c>
      <c r="D447" s="4" t="s">
        <v>32</v>
      </c>
      <c r="E447" s="4" t="s">
        <v>18</v>
      </c>
      <c r="F447" s="4" t="s">
        <v>18</v>
      </c>
      <c r="G447" s="5">
        <v>72344</v>
      </c>
      <c r="H447" s="5">
        <v>386643</v>
      </c>
      <c r="I447" s="4">
        <v>309</v>
      </c>
      <c r="J447" s="4">
        <v>0.97</v>
      </c>
      <c r="K447" s="4">
        <v>6.29</v>
      </c>
      <c r="L447" s="4">
        <v>1.2</v>
      </c>
      <c r="M447" s="4">
        <v>4</v>
      </c>
      <c r="N447" s="4">
        <v>931</v>
      </c>
      <c r="O447" s="4" t="str">
        <f t="shared" si="12"/>
        <v>EMI</v>
      </c>
      <c r="P447" s="5">
        <f t="shared" si="13"/>
        <v>73212.127999999997</v>
      </c>
    </row>
    <row r="448" spans="1:16" x14ac:dyDescent="0.25">
      <c r="A448" s="4">
        <v>2015</v>
      </c>
      <c r="B448" s="4">
        <v>6</v>
      </c>
      <c r="C448" s="12" t="s">
        <v>12</v>
      </c>
      <c r="D448" s="4" t="s">
        <v>16</v>
      </c>
      <c r="E448" s="4" t="s">
        <v>14</v>
      </c>
      <c r="F448" s="4" t="s">
        <v>25</v>
      </c>
      <c r="G448" s="5">
        <v>118791</v>
      </c>
      <c r="H448" s="5">
        <v>443052</v>
      </c>
      <c r="I448" s="4">
        <v>339</v>
      </c>
      <c r="J448" s="4">
        <v>0.97</v>
      </c>
      <c r="K448" s="4">
        <v>6.29</v>
      </c>
      <c r="L448" s="4">
        <v>1.2</v>
      </c>
      <c r="M448" s="4">
        <v>5</v>
      </c>
      <c r="N448" s="4">
        <v>751</v>
      </c>
      <c r="O448" s="4" t="str">
        <f t="shared" si="12"/>
        <v>EMI</v>
      </c>
      <c r="P448" s="5">
        <f t="shared" si="13"/>
        <v>120216.492</v>
      </c>
    </row>
    <row r="449" spans="1:16" x14ac:dyDescent="0.25">
      <c r="A449" s="4">
        <v>2015</v>
      </c>
      <c r="B449" s="4">
        <v>7</v>
      </c>
      <c r="C449" s="12" t="s">
        <v>28</v>
      </c>
      <c r="D449" s="4" t="s">
        <v>24</v>
      </c>
      <c r="E449" s="4" t="s">
        <v>14</v>
      </c>
      <c r="F449" s="4" t="s">
        <v>18</v>
      </c>
      <c r="G449" s="5">
        <v>59299</v>
      </c>
      <c r="H449" s="5">
        <v>295160</v>
      </c>
      <c r="I449" s="4">
        <v>265</v>
      </c>
      <c r="J449" s="4">
        <v>0.97</v>
      </c>
      <c r="K449" s="4">
        <v>6.29</v>
      </c>
      <c r="L449" s="4">
        <v>1.2</v>
      </c>
      <c r="M449" s="4">
        <v>10</v>
      </c>
      <c r="N449" s="4">
        <v>904</v>
      </c>
      <c r="O449" s="4" t="str">
        <f t="shared" si="12"/>
        <v>EMI</v>
      </c>
      <c r="P449" s="5">
        <f t="shared" si="13"/>
        <v>60010.588000000003</v>
      </c>
    </row>
    <row r="450" spans="1:16" x14ac:dyDescent="0.25">
      <c r="A450" s="4">
        <v>2017</v>
      </c>
      <c r="B450" s="4">
        <v>8</v>
      </c>
      <c r="C450" s="12" t="s">
        <v>12</v>
      </c>
      <c r="D450" s="4" t="s">
        <v>13</v>
      </c>
      <c r="E450" s="4" t="s">
        <v>18</v>
      </c>
      <c r="F450" s="4" t="s">
        <v>18</v>
      </c>
      <c r="G450" s="5">
        <v>82975</v>
      </c>
      <c r="H450" s="5">
        <v>237646</v>
      </c>
      <c r="I450" s="4">
        <v>321</v>
      </c>
      <c r="J450" s="4">
        <v>0.97</v>
      </c>
      <c r="K450" s="4">
        <v>6.29</v>
      </c>
      <c r="L450" s="4">
        <v>1.2</v>
      </c>
      <c r="M450" s="4">
        <v>5</v>
      </c>
      <c r="N450" s="4">
        <v>652</v>
      </c>
      <c r="O450" s="4" t="str">
        <f t="shared" ref="O450:O513" si="14">IF(M450&gt;2,"EMI",IF(H450&gt;300000,"Discount","Full"))</f>
        <v>EMI</v>
      </c>
      <c r="P450" s="5">
        <f t="shared" ref="P450:P513" si="15">IF(O450="EMI", G450*(1+L450/100), IF(O450="Full", G450, G450*0.9))</f>
        <v>83970.7</v>
      </c>
    </row>
    <row r="451" spans="1:16" x14ac:dyDescent="0.25">
      <c r="A451" s="4">
        <v>2019</v>
      </c>
      <c r="B451" s="4">
        <v>8</v>
      </c>
      <c r="C451" s="12" t="s">
        <v>19</v>
      </c>
      <c r="D451" s="4" t="s">
        <v>27</v>
      </c>
      <c r="E451" s="4" t="s">
        <v>18</v>
      </c>
      <c r="F451" s="4" t="s">
        <v>21</v>
      </c>
      <c r="G451" s="5">
        <v>36462</v>
      </c>
      <c r="H451" s="5">
        <v>309278</v>
      </c>
      <c r="I451" s="4">
        <v>180</v>
      </c>
      <c r="J451" s="4">
        <v>0.97</v>
      </c>
      <c r="K451" s="4">
        <v>6.29</v>
      </c>
      <c r="L451" s="4">
        <v>1.2</v>
      </c>
      <c r="M451" s="4">
        <v>1</v>
      </c>
      <c r="N451" s="4">
        <v>573</v>
      </c>
      <c r="O451" s="4" t="str">
        <f t="shared" si="14"/>
        <v>Discount</v>
      </c>
      <c r="P451" s="5">
        <f t="shared" si="15"/>
        <v>32815.800000000003</v>
      </c>
    </row>
    <row r="452" spans="1:16" x14ac:dyDescent="0.25">
      <c r="A452" s="4">
        <v>2017</v>
      </c>
      <c r="B452" s="4">
        <v>11</v>
      </c>
      <c r="C452" s="12" t="s">
        <v>30</v>
      </c>
      <c r="D452" s="4" t="s">
        <v>16</v>
      </c>
      <c r="E452" s="4" t="s">
        <v>14</v>
      </c>
      <c r="F452" s="4" t="s">
        <v>21</v>
      </c>
      <c r="G452" s="5">
        <v>116441</v>
      </c>
      <c r="H452" s="5">
        <v>339819</v>
      </c>
      <c r="I452" s="4">
        <v>392</v>
      </c>
      <c r="J452" s="4">
        <v>0.97</v>
      </c>
      <c r="K452" s="4">
        <v>6.29</v>
      </c>
      <c r="L452" s="4">
        <v>1.2</v>
      </c>
      <c r="M452" s="4">
        <v>6</v>
      </c>
      <c r="N452" s="4">
        <v>1027</v>
      </c>
      <c r="O452" s="4" t="str">
        <f t="shared" si="14"/>
        <v>EMI</v>
      </c>
      <c r="P452" s="5">
        <f t="shared" si="15"/>
        <v>117838.292</v>
      </c>
    </row>
    <row r="453" spans="1:16" x14ac:dyDescent="0.25">
      <c r="A453" s="4">
        <v>2015</v>
      </c>
      <c r="B453" s="4">
        <v>2</v>
      </c>
      <c r="C453" s="12" t="s">
        <v>26</v>
      </c>
      <c r="D453" s="4" t="s">
        <v>20</v>
      </c>
      <c r="E453" s="4" t="s">
        <v>18</v>
      </c>
      <c r="F453" s="4" t="s">
        <v>21</v>
      </c>
      <c r="G453" s="5">
        <v>116788</v>
      </c>
      <c r="H453" s="5">
        <v>306681</v>
      </c>
      <c r="I453" s="4">
        <v>171</v>
      </c>
      <c r="J453" s="4">
        <v>0.97</v>
      </c>
      <c r="K453" s="4">
        <v>6.29</v>
      </c>
      <c r="L453" s="4">
        <v>1.2</v>
      </c>
      <c r="M453" s="4">
        <v>9</v>
      </c>
      <c r="N453" s="4">
        <v>575</v>
      </c>
      <c r="O453" s="4" t="str">
        <f t="shared" si="14"/>
        <v>EMI</v>
      </c>
      <c r="P453" s="5">
        <f t="shared" si="15"/>
        <v>118189.45600000001</v>
      </c>
    </row>
    <row r="454" spans="1:16" x14ac:dyDescent="0.25">
      <c r="A454" s="4">
        <v>2015</v>
      </c>
      <c r="B454" s="4">
        <v>9</v>
      </c>
      <c r="C454" s="12" t="s">
        <v>30</v>
      </c>
      <c r="D454" s="4" t="s">
        <v>27</v>
      </c>
      <c r="E454" s="4" t="s">
        <v>18</v>
      </c>
      <c r="F454" s="4" t="s">
        <v>25</v>
      </c>
      <c r="G454" s="5">
        <v>75581</v>
      </c>
      <c r="H454" s="5">
        <v>221635</v>
      </c>
      <c r="I454" s="4">
        <v>295</v>
      </c>
      <c r="J454" s="4">
        <v>0.97</v>
      </c>
      <c r="K454" s="4">
        <v>6.29</v>
      </c>
      <c r="L454" s="4">
        <v>1.2</v>
      </c>
      <c r="M454" s="4">
        <v>2</v>
      </c>
      <c r="N454" s="4">
        <v>848</v>
      </c>
      <c r="O454" s="4" t="str">
        <f t="shared" si="14"/>
        <v>Full</v>
      </c>
      <c r="P454" s="5">
        <f t="shared" si="15"/>
        <v>75581</v>
      </c>
    </row>
    <row r="455" spans="1:16" x14ac:dyDescent="0.25">
      <c r="A455" s="4">
        <v>2022</v>
      </c>
      <c r="B455" s="4">
        <v>7</v>
      </c>
      <c r="C455" s="12" t="s">
        <v>12</v>
      </c>
      <c r="D455" s="4" t="s">
        <v>20</v>
      </c>
      <c r="E455" s="4" t="s">
        <v>14</v>
      </c>
      <c r="F455" s="4" t="s">
        <v>21</v>
      </c>
      <c r="G455" s="5">
        <v>106289</v>
      </c>
      <c r="H455" s="5">
        <v>61332</v>
      </c>
      <c r="I455" s="4">
        <v>80</v>
      </c>
      <c r="J455" s="4">
        <v>0.97</v>
      </c>
      <c r="K455" s="4">
        <v>6.29</v>
      </c>
      <c r="L455" s="4">
        <v>1.2</v>
      </c>
      <c r="M455" s="4">
        <v>7</v>
      </c>
      <c r="N455" s="4">
        <v>432</v>
      </c>
      <c r="O455" s="4" t="str">
        <f t="shared" si="14"/>
        <v>EMI</v>
      </c>
      <c r="P455" s="5">
        <f t="shared" si="15"/>
        <v>107564.46800000001</v>
      </c>
    </row>
    <row r="456" spans="1:16" x14ac:dyDescent="0.25">
      <c r="A456" s="4">
        <v>2024</v>
      </c>
      <c r="B456" s="4">
        <v>4</v>
      </c>
      <c r="C456" s="12" t="s">
        <v>33</v>
      </c>
      <c r="D456" s="4" t="s">
        <v>20</v>
      </c>
      <c r="E456" s="4" t="s">
        <v>18</v>
      </c>
      <c r="F456" s="4" t="s">
        <v>21</v>
      </c>
      <c r="G456" s="5">
        <v>49175</v>
      </c>
      <c r="H456" s="5">
        <v>304817</v>
      </c>
      <c r="I456" s="4">
        <v>264</v>
      </c>
      <c r="J456" s="4">
        <v>0.97</v>
      </c>
      <c r="K456" s="4">
        <v>6.29</v>
      </c>
      <c r="L456" s="4">
        <v>1.2</v>
      </c>
      <c r="M456" s="4">
        <v>6</v>
      </c>
      <c r="N456" s="4">
        <v>918</v>
      </c>
      <c r="O456" s="4" t="str">
        <f t="shared" si="14"/>
        <v>EMI</v>
      </c>
      <c r="P456" s="5">
        <f t="shared" si="15"/>
        <v>49765.1</v>
      </c>
    </row>
    <row r="457" spans="1:16" x14ac:dyDescent="0.25">
      <c r="A457" s="4">
        <v>2016</v>
      </c>
      <c r="B457" s="4">
        <v>4</v>
      </c>
      <c r="C457" s="12" t="s">
        <v>26</v>
      </c>
      <c r="D457" s="4" t="s">
        <v>16</v>
      </c>
      <c r="E457" s="4" t="s">
        <v>18</v>
      </c>
      <c r="F457" s="4" t="s">
        <v>15</v>
      </c>
      <c r="G457" s="5">
        <v>41191</v>
      </c>
      <c r="H457" s="5">
        <v>331321</v>
      </c>
      <c r="I457" s="4">
        <v>383</v>
      </c>
      <c r="J457" s="4">
        <v>0.97</v>
      </c>
      <c r="K457" s="4">
        <v>6.29</v>
      </c>
      <c r="L457" s="4">
        <v>1.2</v>
      </c>
      <c r="M457" s="4">
        <v>5</v>
      </c>
      <c r="N457" s="4">
        <v>1197</v>
      </c>
      <c r="O457" s="4" t="str">
        <f t="shared" si="14"/>
        <v>EMI</v>
      </c>
      <c r="P457" s="5">
        <f t="shared" si="15"/>
        <v>41685.292000000001</v>
      </c>
    </row>
    <row r="458" spans="1:16" x14ac:dyDescent="0.25">
      <c r="A458" s="4">
        <v>2017</v>
      </c>
      <c r="B458" s="4">
        <v>11</v>
      </c>
      <c r="C458" s="12" t="s">
        <v>26</v>
      </c>
      <c r="D458" s="4" t="s">
        <v>20</v>
      </c>
      <c r="E458" s="4" t="s">
        <v>18</v>
      </c>
      <c r="F458" s="4" t="s">
        <v>18</v>
      </c>
      <c r="G458" s="5">
        <v>118434</v>
      </c>
      <c r="H458" s="5">
        <v>442704</v>
      </c>
      <c r="I458" s="4">
        <v>64</v>
      </c>
      <c r="J458" s="4">
        <v>0.97</v>
      </c>
      <c r="K458" s="4">
        <v>6.29</v>
      </c>
      <c r="L458" s="4">
        <v>1.2</v>
      </c>
      <c r="M458" s="4">
        <v>4</v>
      </c>
      <c r="N458" s="4">
        <v>216</v>
      </c>
      <c r="O458" s="4" t="str">
        <f t="shared" si="14"/>
        <v>EMI</v>
      </c>
      <c r="P458" s="5">
        <f t="shared" si="15"/>
        <v>119855.208</v>
      </c>
    </row>
    <row r="459" spans="1:16" x14ac:dyDescent="0.25">
      <c r="A459" s="4">
        <v>2016</v>
      </c>
      <c r="B459" s="4">
        <v>8</v>
      </c>
      <c r="C459" s="12" t="s">
        <v>28</v>
      </c>
      <c r="D459" s="4" t="s">
        <v>22</v>
      </c>
      <c r="E459" s="4" t="s">
        <v>14</v>
      </c>
      <c r="F459" s="4" t="s">
        <v>18</v>
      </c>
      <c r="G459" s="5">
        <v>119518</v>
      </c>
      <c r="H459" s="5">
        <v>270326</v>
      </c>
      <c r="I459" s="4">
        <v>332</v>
      </c>
      <c r="J459" s="4">
        <v>0.97</v>
      </c>
      <c r="K459" s="4">
        <v>6.29</v>
      </c>
      <c r="L459" s="4">
        <v>1.2</v>
      </c>
      <c r="M459" s="4">
        <v>4</v>
      </c>
      <c r="N459" s="4">
        <v>847</v>
      </c>
      <c r="O459" s="4" t="str">
        <f t="shared" si="14"/>
        <v>EMI</v>
      </c>
      <c r="P459" s="5">
        <f t="shared" si="15"/>
        <v>120952.216</v>
      </c>
    </row>
    <row r="460" spans="1:16" x14ac:dyDescent="0.25">
      <c r="A460" s="4">
        <v>2017</v>
      </c>
      <c r="B460" s="4">
        <v>4</v>
      </c>
      <c r="C460" s="12" t="s">
        <v>36</v>
      </c>
      <c r="D460" s="4" t="s">
        <v>29</v>
      </c>
      <c r="E460" s="4" t="s">
        <v>18</v>
      </c>
      <c r="F460" s="4" t="s">
        <v>21</v>
      </c>
      <c r="G460" s="5">
        <v>115158</v>
      </c>
      <c r="H460" s="5">
        <v>249519</v>
      </c>
      <c r="I460" s="4">
        <v>12</v>
      </c>
      <c r="J460" s="4">
        <v>0.97</v>
      </c>
      <c r="K460" s="4">
        <v>6.29</v>
      </c>
      <c r="L460" s="4">
        <v>1.2</v>
      </c>
      <c r="M460" s="4">
        <v>6</v>
      </c>
      <c r="N460" s="4">
        <v>72</v>
      </c>
      <c r="O460" s="4" t="str">
        <f t="shared" si="14"/>
        <v>EMI</v>
      </c>
      <c r="P460" s="5">
        <f t="shared" si="15"/>
        <v>116539.89600000001</v>
      </c>
    </row>
    <row r="461" spans="1:16" x14ac:dyDescent="0.25">
      <c r="A461" s="4">
        <v>2021</v>
      </c>
      <c r="B461" s="4">
        <v>6</v>
      </c>
      <c r="C461" s="12" t="s">
        <v>28</v>
      </c>
      <c r="D461" s="4" t="s">
        <v>22</v>
      </c>
      <c r="E461" s="4" t="s">
        <v>14</v>
      </c>
      <c r="F461" s="4" t="s">
        <v>18</v>
      </c>
      <c r="G461" s="5">
        <v>101537</v>
      </c>
      <c r="H461" s="5">
        <v>311849</v>
      </c>
      <c r="I461" s="4">
        <v>35</v>
      </c>
      <c r="J461" s="4">
        <v>0.97</v>
      </c>
      <c r="K461" s="4">
        <v>6.29</v>
      </c>
      <c r="L461" s="4">
        <v>1.2</v>
      </c>
      <c r="M461" s="4">
        <v>4</v>
      </c>
      <c r="N461" s="4">
        <v>416</v>
      </c>
      <c r="O461" s="4" t="str">
        <f t="shared" si="14"/>
        <v>EMI</v>
      </c>
      <c r="P461" s="5">
        <f t="shared" si="15"/>
        <v>102755.444</v>
      </c>
    </row>
    <row r="462" spans="1:16" x14ac:dyDescent="0.25">
      <c r="A462" s="4">
        <v>2015</v>
      </c>
      <c r="B462" s="4">
        <v>5</v>
      </c>
      <c r="C462" s="12" t="s">
        <v>28</v>
      </c>
      <c r="D462" s="4" t="s">
        <v>29</v>
      </c>
      <c r="E462" s="4" t="s">
        <v>14</v>
      </c>
      <c r="F462" s="4" t="s">
        <v>15</v>
      </c>
      <c r="G462" s="5">
        <v>82645</v>
      </c>
      <c r="H462" s="5">
        <v>369248</v>
      </c>
      <c r="I462" s="4">
        <v>322</v>
      </c>
      <c r="J462" s="4">
        <v>0.97</v>
      </c>
      <c r="K462" s="4">
        <v>6.29</v>
      </c>
      <c r="L462" s="4">
        <v>1.2</v>
      </c>
      <c r="M462" s="4">
        <v>5</v>
      </c>
      <c r="N462" s="4">
        <v>827</v>
      </c>
      <c r="O462" s="4" t="str">
        <f t="shared" si="14"/>
        <v>EMI</v>
      </c>
      <c r="P462" s="5">
        <f t="shared" si="15"/>
        <v>83636.740000000005</v>
      </c>
    </row>
    <row r="463" spans="1:16" x14ac:dyDescent="0.25">
      <c r="A463" s="4">
        <v>2024</v>
      </c>
      <c r="B463" s="4">
        <v>3</v>
      </c>
      <c r="C463" s="12" t="s">
        <v>33</v>
      </c>
      <c r="D463" s="4" t="s">
        <v>37</v>
      </c>
      <c r="E463" s="4" t="s">
        <v>17</v>
      </c>
      <c r="F463" s="4" t="s">
        <v>15</v>
      </c>
      <c r="G463" s="5">
        <v>58283</v>
      </c>
      <c r="H463" s="5">
        <v>396479</v>
      </c>
      <c r="I463" s="4">
        <v>135</v>
      </c>
      <c r="J463" s="4">
        <v>0.97</v>
      </c>
      <c r="K463" s="4">
        <v>6.29</v>
      </c>
      <c r="L463" s="4">
        <v>1.2</v>
      </c>
      <c r="M463" s="4">
        <v>6</v>
      </c>
      <c r="N463" s="4">
        <v>355</v>
      </c>
      <c r="O463" s="4" t="str">
        <f t="shared" si="14"/>
        <v>EMI</v>
      </c>
      <c r="P463" s="5">
        <f t="shared" si="15"/>
        <v>58982.396000000001</v>
      </c>
    </row>
    <row r="464" spans="1:16" x14ac:dyDescent="0.25">
      <c r="A464" s="4">
        <v>2022</v>
      </c>
      <c r="B464" s="4">
        <v>10</v>
      </c>
      <c r="C464" s="12" t="s">
        <v>30</v>
      </c>
      <c r="D464" s="4" t="s">
        <v>37</v>
      </c>
      <c r="E464" s="4" t="s">
        <v>17</v>
      </c>
      <c r="F464" s="4" t="s">
        <v>21</v>
      </c>
      <c r="G464" s="5">
        <v>94123</v>
      </c>
      <c r="H464" s="5">
        <v>427082</v>
      </c>
      <c r="I464" s="4">
        <v>62</v>
      </c>
      <c r="J464" s="4">
        <v>0.97</v>
      </c>
      <c r="K464" s="4">
        <v>6.29</v>
      </c>
      <c r="L464" s="4">
        <v>1.2</v>
      </c>
      <c r="M464" s="4">
        <v>5</v>
      </c>
      <c r="N464" s="4">
        <v>254</v>
      </c>
      <c r="O464" s="4" t="str">
        <f t="shared" si="14"/>
        <v>EMI</v>
      </c>
      <c r="P464" s="5">
        <f t="shared" si="15"/>
        <v>95252.475999999995</v>
      </c>
    </row>
    <row r="465" spans="1:16" x14ac:dyDescent="0.25">
      <c r="A465" s="4">
        <v>2024</v>
      </c>
      <c r="B465" s="4">
        <v>11</v>
      </c>
      <c r="C465" s="12" t="s">
        <v>30</v>
      </c>
      <c r="D465" s="4" t="s">
        <v>20</v>
      </c>
      <c r="E465" s="4" t="s">
        <v>18</v>
      </c>
      <c r="F465" s="4" t="s">
        <v>15</v>
      </c>
      <c r="G465" s="5">
        <v>65024</v>
      </c>
      <c r="H465" s="5">
        <v>130730</v>
      </c>
      <c r="I465" s="4">
        <v>207</v>
      </c>
      <c r="J465" s="4">
        <v>0.97</v>
      </c>
      <c r="K465" s="4">
        <v>6.29</v>
      </c>
      <c r="L465" s="4">
        <v>1.2</v>
      </c>
      <c r="M465" s="4">
        <v>7</v>
      </c>
      <c r="N465" s="4">
        <v>626</v>
      </c>
      <c r="O465" s="4" t="str">
        <f t="shared" si="14"/>
        <v>EMI</v>
      </c>
      <c r="P465" s="5">
        <f t="shared" si="15"/>
        <v>65804.288</v>
      </c>
    </row>
    <row r="466" spans="1:16" x14ac:dyDescent="0.25">
      <c r="A466" s="4">
        <v>2024</v>
      </c>
      <c r="B466" s="4">
        <v>2</v>
      </c>
      <c r="C466" s="12" t="s">
        <v>35</v>
      </c>
      <c r="D466" s="4" t="s">
        <v>24</v>
      </c>
      <c r="E466" s="4" t="s">
        <v>14</v>
      </c>
      <c r="F466" s="4" t="s">
        <v>18</v>
      </c>
      <c r="G466" s="5">
        <v>84630</v>
      </c>
      <c r="H466" s="5">
        <v>448167</v>
      </c>
      <c r="I466" s="4">
        <v>308</v>
      </c>
      <c r="J466" s="4">
        <v>0.97</v>
      </c>
      <c r="K466" s="4">
        <v>6.29</v>
      </c>
      <c r="L466" s="4">
        <v>1.2</v>
      </c>
      <c r="M466" s="4">
        <v>9</v>
      </c>
      <c r="N466" s="4">
        <v>862</v>
      </c>
      <c r="O466" s="4" t="str">
        <f t="shared" si="14"/>
        <v>EMI</v>
      </c>
      <c r="P466" s="5">
        <f t="shared" si="15"/>
        <v>85645.56</v>
      </c>
    </row>
    <row r="467" spans="1:16" x14ac:dyDescent="0.25">
      <c r="A467" s="4">
        <v>2024</v>
      </c>
      <c r="B467" s="4">
        <v>9</v>
      </c>
      <c r="C467" s="12" t="s">
        <v>12</v>
      </c>
      <c r="D467" s="4" t="s">
        <v>24</v>
      </c>
      <c r="E467" s="4" t="s">
        <v>17</v>
      </c>
      <c r="F467" s="4" t="s">
        <v>25</v>
      </c>
      <c r="G467" s="5">
        <v>65734</v>
      </c>
      <c r="H467" s="5">
        <v>287474</v>
      </c>
      <c r="I467" s="4">
        <v>197</v>
      </c>
      <c r="J467" s="4">
        <v>0.97</v>
      </c>
      <c r="K467" s="4">
        <v>6.29</v>
      </c>
      <c r="L467" s="4">
        <v>1.2</v>
      </c>
      <c r="M467" s="4">
        <v>10</v>
      </c>
      <c r="N467" s="4">
        <v>409</v>
      </c>
      <c r="O467" s="4" t="str">
        <f t="shared" si="14"/>
        <v>EMI</v>
      </c>
      <c r="P467" s="5">
        <f t="shared" si="15"/>
        <v>66522.808000000005</v>
      </c>
    </row>
    <row r="468" spans="1:16" x14ac:dyDescent="0.25">
      <c r="A468" s="4">
        <v>2016</v>
      </c>
      <c r="B468" s="4">
        <v>10</v>
      </c>
      <c r="C468" s="12" t="s">
        <v>33</v>
      </c>
      <c r="D468" s="4" t="s">
        <v>29</v>
      </c>
      <c r="E468" s="4" t="s">
        <v>18</v>
      </c>
      <c r="F468" s="4" t="s">
        <v>18</v>
      </c>
      <c r="G468" s="5">
        <v>35515</v>
      </c>
      <c r="H468" s="5">
        <v>340477</v>
      </c>
      <c r="I468" s="4">
        <v>195</v>
      </c>
      <c r="J468" s="4">
        <v>0.97</v>
      </c>
      <c r="K468" s="4">
        <v>6.29</v>
      </c>
      <c r="L468" s="4">
        <v>1.2</v>
      </c>
      <c r="M468" s="4">
        <v>7</v>
      </c>
      <c r="N468" s="4">
        <v>561</v>
      </c>
      <c r="O468" s="4" t="str">
        <f t="shared" si="14"/>
        <v>EMI</v>
      </c>
      <c r="P468" s="5">
        <f t="shared" si="15"/>
        <v>35941.18</v>
      </c>
    </row>
    <row r="469" spans="1:16" x14ac:dyDescent="0.25">
      <c r="A469" s="4">
        <v>2017</v>
      </c>
      <c r="B469" s="4">
        <v>9</v>
      </c>
      <c r="C469" s="12" t="s">
        <v>35</v>
      </c>
      <c r="D469" s="4" t="s">
        <v>27</v>
      </c>
      <c r="E469" s="4" t="s">
        <v>17</v>
      </c>
      <c r="F469" s="4" t="s">
        <v>25</v>
      </c>
      <c r="G469" s="5">
        <v>101727</v>
      </c>
      <c r="H469" s="5">
        <v>333817</v>
      </c>
      <c r="I469" s="4">
        <v>314</v>
      </c>
      <c r="J469" s="4">
        <v>0.97</v>
      </c>
      <c r="K469" s="4">
        <v>6.29</v>
      </c>
      <c r="L469" s="4">
        <v>1.2</v>
      </c>
      <c r="M469" s="4">
        <v>7</v>
      </c>
      <c r="N469" s="4">
        <v>889</v>
      </c>
      <c r="O469" s="4" t="str">
        <f t="shared" si="14"/>
        <v>EMI</v>
      </c>
      <c r="P469" s="5">
        <f t="shared" si="15"/>
        <v>102947.724</v>
      </c>
    </row>
    <row r="470" spans="1:16" x14ac:dyDescent="0.25">
      <c r="A470" s="4">
        <v>2023</v>
      </c>
      <c r="B470" s="4">
        <v>1</v>
      </c>
      <c r="C470" s="12" t="s">
        <v>19</v>
      </c>
      <c r="D470" s="4" t="s">
        <v>16</v>
      </c>
      <c r="E470" s="4" t="s">
        <v>17</v>
      </c>
      <c r="F470" s="4" t="s">
        <v>21</v>
      </c>
      <c r="G470" s="5">
        <v>81216</v>
      </c>
      <c r="H470" s="5">
        <v>426565</v>
      </c>
      <c r="I470" s="4">
        <v>307</v>
      </c>
      <c r="J470" s="4">
        <v>0.97</v>
      </c>
      <c r="K470" s="4">
        <v>6.29</v>
      </c>
      <c r="L470" s="4">
        <v>1.2</v>
      </c>
      <c r="M470" s="4">
        <v>4</v>
      </c>
      <c r="N470" s="4">
        <v>784</v>
      </c>
      <c r="O470" s="4" t="str">
        <f t="shared" si="14"/>
        <v>EMI</v>
      </c>
      <c r="P470" s="5">
        <f t="shared" si="15"/>
        <v>82190.592000000004</v>
      </c>
    </row>
    <row r="471" spans="1:16" x14ac:dyDescent="0.25">
      <c r="A471" s="4">
        <v>2021</v>
      </c>
      <c r="B471" s="4">
        <v>10</v>
      </c>
      <c r="C471" s="12" t="s">
        <v>12</v>
      </c>
      <c r="D471" s="4" t="s">
        <v>20</v>
      </c>
      <c r="E471" s="4" t="s">
        <v>14</v>
      </c>
      <c r="F471" s="4" t="s">
        <v>25</v>
      </c>
      <c r="G471" s="5">
        <v>106833</v>
      </c>
      <c r="H471" s="5">
        <v>90870</v>
      </c>
      <c r="I471" s="4">
        <v>213</v>
      </c>
      <c r="J471" s="4">
        <v>0.97</v>
      </c>
      <c r="K471" s="4">
        <v>6.29</v>
      </c>
      <c r="L471" s="4">
        <v>1.2</v>
      </c>
      <c r="M471" s="4">
        <v>1</v>
      </c>
      <c r="N471" s="4">
        <v>495</v>
      </c>
      <c r="O471" s="4" t="str">
        <f t="shared" si="14"/>
        <v>Full</v>
      </c>
      <c r="P471" s="5">
        <f t="shared" si="15"/>
        <v>106833</v>
      </c>
    </row>
    <row r="472" spans="1:16" x14ac:dyDescent="0.25">
      <c r="A472" s="4">
        <v>2018</v>
      </c>
      <c r="B472" s="4">
        <v>3</v>
      </c>
      <c r="C472" s="12" t="s">
        <v>12</v>
      </c>
      <c r="D472" s="4" t="s">
        <v>16</v>
      </c>
      <c r="E472" s="4" t="s">
        <v>14</v>
      </c>
      <c r="F472" s="4" t="s">
        <v>15</v>
      </c>
      <c r="G472" s="5">
        <v>93755</v>
      </c>
      <c r="H472" s="5">
        <v>303017</v>
      </c>
      <c r="I472" s="4">
        <v>20</v>
      </c>
      <c r="J472" s="4">
        <v>0.97</v>
      </c>
      <c r="K472" s="4">
        <v>6.29</v>
      </c>
      <c r="L472" s="4">
        <v>1.2</v>
      </c>
      <c r="M472" s="4">
        <v>8</v>
      </c>
      <c r="N472" s="4">
        <v>417</v>
      </c>
      <c r="O472" s="4" t="str">
        <f t="shared" si="14"/>
        <v>EMI</v>
      </c>
      <c r="P472" s="5">
        <f t="shared" si="15"/>
        <v>94880.06</v>
      </c>
    </row>
    <row r="473" spans="1:16" x14ac:dyDescent="0.25">
      <c r="A473" s="4">
        <v>2024</v>
      </c>
      <c r="B473" s="4">
        <v>8</v>
      </c>
      <c r="C473" s="12" t="s">
        <v>23</v>
      </c>
      <c r="D473" s="4" t="s">
        <v>22</v>
      </c>
      <c r="E473" s="4" t="s">
        <v>17</v>
      </c>
      <c r="F473" s="4" t="s">
        <v>18</v>
      </c>
      <c r="G473" s="5">
        <v>62856</v>
      </c>
      <c r="H473" s="5">
        <v>177536</v>
      </c>
      <c r="I473" s="4">
        <v>368</v>
      </c>
      <c r="J473" s="4">
        <v>0.97</v>
      </c>
      <c r="K473" s="4">
        <v>6.29</v>
      </c>
      <c r="L473" s="4">
        <v>1.2</v>
      </c>
      <c r="M473" s="4">
        <v>4</v>
      </c>
      <c r="N473" s="4">
        <v>869</v>
      </c>
      <c r="O473" s="4" t="str">
        <f t="shared" si="14"/>
        <v>EMI</v>
      </c>
      <c r="P473" s="5">
        <f t="shared" si="15"/>
        <v>63610.271999999997</v>
      </c>
    </row>
    <row r="474" spans="1:16" x14ac:dyDescent="0.25">
      <c r="A474" s="4">
        <v>2019</v>
      </c>
      <c r="B474" s="4">
        <v>6</v>
      </c>
      <c r="C474" s="12" t="s">
        <v>23</v>
      </c>
      <c r="D474" s="4" t="s">
        <v>24</v>
      </c>
      <c r="E474" s="4" t="s">
        <v>17</v>
      </c>
      <c r="F474" s="4" t="s">
        <v>25</v>
      </c>
      <c r="G474" s="5">
        <v>108870</v>
      </c>
      <c r="H474" s="5">
        <v>383245</v>
      </c>
      <c r="I474" s="4">
        <v>363</v>
      </c>
      <c r="J474" s="4">
        <v>0.97</v>
      </c>
      <c r="K474" s="4">
        <v>6.29</v>
      </c>
      <c r="L474" s="4">
        <v>1.2</v>
      </c>
      <c r="M474" s="4">
        <v>1</v>
      </c>
      <c r="N474" s="4">
        <v>951</v>
      </c>
      <c r="O474" s="4" t="str">
        <f t="shared" si="14"/>
        <v>Discount</v>
      </c>
      <c r="P474" s="5">
        <f t="shared" si="15"/>
        <v>97983</v>
      </c>
    </row>
    <row r="475" spans="1:16" x14ac:dyDescent="0.25">
      <c r="A475" s="4">
        <v>2016</v>
      </c>
      <c r="B475" s="4">
        <v>5</v>
      </c>
      <c r="C475" s="12" t="s">
        <v>34</v>
      </c>
      <c r="D475" s="4" t="s">
        <v>32</v>
      </c>
      <c r="E475" s="4" t="s">
        <v>14</v>
      </c>
      <c r="F475" s="4" t="s">
        <v>18</v>
      </c>
      <c r="G475" s="5">
        <v>59162</v>
      </c>
      <c r="H475" s="5">
        <v>334965</v>
      </c>
      <c r="I475" s="4">
        <v>155</v>
      </c>
      <c r="J475" s="4">
        <v>0.97</v>
      </c>
      <c r="K475" s="4">
        <v>6.29</v>
      </c>
      <c r="L475" s="4">
        <v>1.2</v>
      </c>
      <c r="M475" s="4">
        <v>5</v>
      </c>
      <c r="N475" s="4">
        <v>542</v>
      </c>
      <c r="O475" s="4" t="str">
        <f t="shared" si="14"/>
        <v>EMI</v>
      </c>
      <c r="P475" s="5">
        <f t="shared" si="15"/>
        <v>59871.944000000003</v>
      </c>
    </row>
    <row r="476" spans="1:16" x14ac:dyDescent="0.25">
      <c r="A476" s="4">
        <v>2022</v>
      </c>
      <c r="B476" s="4">
        <v>5</v>
      </c>
      <c r="C476" s="12" t="s">
        <v>34</v>
      </c>
      <c r="D476" s="4" t="s">
        <v>22</v>
      </c>
      <c r="E476" s="4" t="s">
        <v>18</v>
      </c>
      <c r="F476" s="4" t="s">
        <v>21</v>
      </c>
      <c r="G476" s="5">
        <v>41008</v>
      </c>
      <c r="H476" s="5">
        <v>75494</v>
      </c>
      <c r="I476" s="4">
        <v>94</v>
      </c>
      <c r="J476" s="4">
        <v>0.97</v>
      </c>
      <c r="K476" s="4">
        <v>6.29</v>
      </c>
      <c r="L476" s="4">
        <v>1.2</v>
      </c>
      <c r="M476" s="4">
        <v>8</v>
      </c>
      <c r="N476" s="4">
        <v>398</v>
      </c>
      <c r="O476" s="4" t="str">
        <f t="shared" si="14"/>
        <v>EMI</v>
      </c>
      <c r="P476" s="5">
        <f t="shared" si="15"/>
        <v>41500.095999999998</v>
      </c>
    </row>
    <row r="477" spans="1:16" x14ac:dyDescent="0.25">
      <c r="A477" s="4">
        <v>2018</v>
      </c>
      <c r="B477" s="4">
        <v>6</v>
      </c>
      <c r="C477" s="12" t="s">
        <v>28</v>
      </c>
      <c r="D477" s="4" t="s">
        <v>22</v>
      </c>
      <c r="E477" s="4" t="s">
        <v>14</v>
      </c>
      <c r="F477" s="4" t="s">
        <v>21</v>
      </c>
      <c r="G477" s="5">
        <v>42987</v>
      </c>
      <c r="H477" s="5">
        <v>149477</v>
      </c>
      <c r="I477" s="4">
        <v>109</v>
      </c>
      <c r="J477" s="4">
        <v>0.97</v>
      </c>
      <c r="K477" s="4">
        <v>6.29</v>
      </c>
      <c r="L477" s="4">
        <v>1.2</v>
      </c>
      <c r="M477" s="4">
        <v>4</v>
      </c>
      <c r="N477" s="4">
        <v>296</v>
      </c>
      <c r="O477" s="4" t="str">
        <f t="shared" si="14"/>
        <v>EMI</v>
      </c>
      <c r="P477" s="5">
        <f t="shared" si="15"/>
        <v>43502.843999999997</v>
      </c>
    </row>
    <row r="478" spans="1:16" x14ac:dyDescent="0.25">
      <c r="A478" s="4">
        <v>2023</v>
      </c>
      <c r="B478" s="4">
        <v>7</v>
      </c>
      <c r="C478" s="12" t="s">
        <v>19</v>
      </c>
      <c r="D478" s="4" t="s">
        <v>29</v>
      </c>
      <c r="E478" s="4" t="s">
        <v>17</v>
      </c>
      <c r="F478" s="4" t="s">
        <v>15</v>
      </c>
      <c r="G478" s="5">
        <v>97532</v>
      </c>
      <c r="H478" s="5">
        <v>438227</v>
      </c>
      <c r="I478" s="4">
        <v>113</v>
      </c>
      <c r="J478" s="4">
        <v>0.97</v>
      </c>
      <c r="K478" s="4">
        <v>6.29</v>
      </c>
      <c r="L478" s="4">
        <v>1.2</v>
      </c>
      <c r="M478" s="4">
        <v>8</v>
      </c>
      <c r="N478" s="4">
        <v>517</v>
      </c>
      <c r="O478" s="4" t="str">
        <f t="shared" si="14"/>
        <v>EMI</v>
      </c>
      <c r="P478" s="5">
        <f t="shared" si="15"/>
        <v>98702.384000000005</v>
      </c>
    </row>
    <row r="479" spans="1:16" x14ac:dyDescent="0.25">
      <c r="A479" s="4">
        <v>2019</v>
      </c>
      <c r="B479" s="4">
        <v>1</v>
      </c>
      <c r="C479" s="12" t="s">
        <v>26</v>
      </c>
      <c r="D479" s="4" t="s">
        <v>31</v>
      </c>
      <c r="E479" s="4" t="s">
        <v>18</v>
      </c>
      <c r="F479" s="4" t="s">
        <v>21</v>
      </c>
      <c r="G479" s="5">
        <v>38332</v>
      </c>
      <c r="H479" s="5">
        <v>255232</v>
      </c>
      <c r="I479" s="4">
        <v>55</v>
      </c>
      <c r="J479" s="4">
        <v>0.97</v>
      </c>
      <c r="K479" s="4">
        <v>6.29</v>
      </c>
      <c r="L479" s="4">
        <v>1.2</v>
      </c>
      <c r="M479" s="4">
        <v>8</v>
      </c>
      <c r="N479" s="4">
        <v>418</v>
      </c>
      <c r="O479" s="4" t="str">
        <f t="shared" si="14"/>
        <v>EMI</v>
      </c>
      <c r="P479" s="5">
        <f t="shared" si="15"/>
        <v>38791.984000000004</v>
      </c>
    </row>
    <row r="480" spans="1:16" x14ac:dyDescent="0.25">
      <c r="A480" s="4">
        <v>2023</v>
      </c>
      <c r="B480" s="4">
        <v>9</v>
      </c>
      <c r="C480" s="12" t="s">
        <v>26</v>
      </c>
      <c r="D480" s="4" t="s">
        <v>22</v>
      </c>
      <c r="E480" s="4" t="s">
        <v>17</v>
      </c>
      <c r="F480" s="4" t="s">
        <v>25</v>
      </c>
      <c r="G480" s="5">
        <v>101323</v>
      </c>
      <c r="H480" s="5">
        <v>424842</v>
      </c>
      <c r="I480" s="4">
        <v>53</v>
      </c>
      <c r="J480" s="4">
        <v>0.97</v>
      </c>
      <c r="K480" s="4">
        <v>6.29</v>
      </c>
      <c r="L480" s="4">
        <v>1.2</v>
      </c>
      <c r="M480" s="4">
        <v>3</v>
      </c>
      <c r="N480" s="4">
        <v>306</v>
      </c>
      <c r="O480" s="4" t="str">
        <f t="shared" si="14"/>
        <v>EMI</v>
      </c>
      <c r="P480" s="5">
        <f t="shared" si="15"/>
        <v>102538.876</v>
      </c>
    </row>
    <row r="481" spans="1:16" x14ac:dyDescent="0.25">
      <c r="A481" s="4">
        <v>2018</v>
      </c>
      <c r="B481" s="4">
        <v>3</v>
      </c>
      <c r="C481" s="12" t="s">
        <v>23</v>
      </c>
      <c r="D481" s="4" t="s">
        <v>20</v>
      </c>
      <c r="E481" s="4" t="s">
        <v>18</v>
      </c>
      <c r="F481" s="4" t="s">
        <v>21</v>
      </c>
      <c r="G481" s="5">
        <v>73990</v>
      </c>
      <c r="H481" s="5">
        <v>423704</v>
      </c>
      <c r="I481" s="4">
        <v>287</v>
      </c>
      <c r="J481" s="4">
        <v>0.97</v>
      </c>
      <c r="K481" s="4">
        <v>6.29</v>
      </c>
      <c r="L481" s="4">
        <v>1.2</v>
      </c>
      <c r="M481" s="4">
        <v>9</v>
      </c>
      <c r="N481" s="4">
        <v>930</v>
      </c>
      <c r="O481" s="4" t="str">
        <f t="shared" si="14"/>
        <v>EMI</v>
      </c>
      <c r="P481" s="5">
        <f t="shared" si="15"/>
        <v>74877.88</v>
      </c>
    </row>
    <row r="482" spans="1:16" x14ac:dyDescent="0.25">
      <c r="A482" s="4">
        <v>2024</v>
      </c>
      <c r="B482" s="4">
        <v>4</v>
      </c>
      <c r="C482" s="12" t="s">
        <v>23</v>
      </c>
      <c r="D482" s="4" t="s">
        <v>13</v>
      </c>
      <c r="E482" s="4" t="s">
        <v>17</v>
      </c>
      <c r="F482" s="4" t="s">
        <v>15</v>
      </c>
      <c r="G482" s="5">
        <v>44873</v>
      </c>
      <c r="H482" s="5">
        <v>444051</v>
      </c>
      <c r="I482" s="4">
        <v>190</v>
      </c>
      <c r="J482" s="4">
        <v>0.97</v>
      </c>
      <c r="K482" s="4">
        <v>6.29</v>
      </c>
      <c r="L482" s="4">
        <v>1.2</v>
      </c>
      <c r="M482" s="4">
        <v>3</v>
      </c>
      <c r="N482" s="4">
        <v>805</v>
      </c>
      <c r="O482" s="4" t="str">
        <f t="shared" si="14"/>
        <v>EMI</v>
      </c>
      <c r="P482" s="5">
        <f t="shared" si="15"/>
        <v>45411.476000000002</v>
      </c>
    </row>
    <row r="483" spans="1:16" x14ac:dyDescent="0.25">
      <c r="A483" s="4">
        <v>2019</v>
      </c>
      <c r="B483" s="4">
        <v>10</v>
      </c>
      <c r="C483" s="12" t="s">
        <v>23</v>
      </c>
      <c r="D483" s="4" t="s">
        <v>13</v>
      </c>
      <c r="E483" s="4" t="s">
        <v>18</v>
      </c>
      <c r="F483" s="4" t="s">
        <v>18</v>
      </c>
      <c r="G483" s="5">
        <v>117542</v>
      </c>
      <c r="H483" s="5">
        <v>330790</v>
      </c>
      <c r="I483" s="4">
        <v>196</v>
      </c>
      <c r="J483" s="4">
        <v>0.97</v>
      </c>
      <c r="K483" s="4">
        <v>6.29</v>
      </c>
      <c r="L483" s="4">
        <v>1.2</v>
      </c>
      <c r="M483" s="4">
        <v>1</v>
      </c>
      <c r="N483" s="4">
        <v>538</v>
      </c>
      <c r="O483" s="4" t="str">
        <f t="shared" si="14"/>
        <v>Discount</v>
      </c>
      <c r="P483" s="5">
        <f t="shared" si="15"/>
        <v>105787.8</v>
      </c>
    </row>
    <row r="484" spans="1:16" x14ac:dyDescent="0.25">
      <c r="A484" s="4">
        <v>2023</v>
      </c>
      <c r="B484" s="4">
        <v>1</v>
      </c>
      <c r="C484" s="12" t="s">
        <v>33</v>
      </c>
      <c r="D484" s="4" t="s">
        <v>20</v>
      </c>
      <c r="E484" s="4" t="s">
        <v>18</v>
      </c>
      <c r="F484" s="4" t="s">
        <v>18</v>
      </c>
      <c r="G484" s="5">
        <v>71444</v>
      </c>
      <c r="H484" s="5">
        <v>173777</v>
      </c>
      <c r="I484" s="4">
        <v>123</v>
      </c>
      <c r="J484" s="4">
        <v>0.97</v>
      </c>
      <c r="K484" s="4">
        <v>6.29</v>
      </c>
      <c r="L484" s="4">
        <v>1.2</v>
      </c>
      <c r="M484" s="4">
        <v>2</v>
      </c>
      <c r="N484" s="4">
        <v>697</v>
      </c>
      <c r="O484" s="4" t="str">
        <f t="shared" si="14"/>
        <v>Full</v>
      </c>
      <c r="P484" s="5">
        <f t="shared" si="15"/>
        <v>71444</v>
      </c>
    </row>
    <row r="485" spans="1:16" x14ac:dyDescent="0.25">
      <c r="A485" s="4">
        <v>2022</v>
      </c>
      <c r="B485" s="4">
        <v>11</v>
      </c>
      <c r="C485" s="12" t="s">
        <v>36</v>
      </c>
      <c r="D485" s="4" t="s">
        <v>31</v>
      </c>
      <c r="E485" s="4" t="s">
        <v>17</v>
      </c>
      <c r="F485" s="4" t="s">
        <v>21</v>
      </c>
      <c r="G485" s="5">
        <v>70340</v>
      </c>
      <c r="H485" s="5">
        <v>127360</v>
      </c>
      <c r="I485" s="4">
        <v>264</v>
      </c>
      <c r="J485" s="4">
        <v>0.97</v>
      </c>
      <c r="K485" s="4">
        <v>6.29</v>
      </c>
      <c r="L485" s="4">
        <v>1.2</v>
      </c>
      <c r="M485" s="4">
        <v>6</v>
      </c>
      <c r="N485" s="4">
        <v>902</v>
      </c>
      <c r="O485" s="4" t="str">
        <f t="shared" si="14"/>
        <v>EMI</v>
      </c>
      <c r="P485" s="5">
        <f t="shared" si="15"/>
        <v>71184.08</v>
      </c>
    </row>
    <row r="486" spans="1:16" x14ac:dyDescent="0.25">
      <c r="A486" s="4">
        <v>2017</v>
      </c>
      <c r="B486" s="4">
        <v>10</v>
      </c>
      <c r="C486" s="12" t="s">
        <v>34</v>
      </c>
      <c r="D486" s="4" t="s">
        <v>31</v>
      </c>
      <c r="E486" s="4" t="s">
        <v>18</v>
      </c>
      <c r="F486" s="4" t="s">
        <v>25</v>
      </c>
      <c r="G486" s="5">
        <v>40033</v>
      </c>
      <c r="H486" s="5">
        <v>349479</v>
      </c>
      <c r="I486" s="4">
        <v>390</v>
      </c>
      <c r="J486" s="4">
        <v>0.97</v>
      </c>
      <c r="K486" s="4">
        <v>6.29</v>
      </c>
      <c r="L486" s="4">
        <v>1.2</v>
      </c>
      <c r="M486" s="4">
        <v>10</v>
      </c>
      <c r="N486" s="4">
        <v>1118</v>
      </c>
      <c r="O486" s="4" t="str">
        <f t="shared" si="14"/>
        <v>EMI</v>
      </c>
      <c r="P486" s="5">
        <f t="shared" si="15"/>
        <v>40513.396000000001</v>
      </c>
    </row>
    <row r="487" spans="1:16" x14ac:dyDescent="0.25">
      <c r="A487" s="4">
        <v>2015</v>
      </c>
      <c r="B487" s="4">
        <v>3</v>
      </c>
      <c r="C487" s="12" t="s">
        <v>33</v>
      </c>
      <c r="D487" s="4" t="s">
        <v>29</v>
      </c>
      <c r="E487" s="4" t="s">
        <v>14</v>
      </c>
      <c r="F487" s="4" t="s">
        <v>15</v>
      </c>
      <c r="G487" s="5">
        <v>108324</v>
      </c>
      <c r="H487" s="5">
        <v>381495</v>
      </c>
      <c r="I487" s="4">
        <v>389</v>
      </c>
      <c r="J487" s="4">
        <v>0.97</v>
      </c>
      <c r="K487" s="4">
        <v>6.29</v>
      </c>
      <c r="L487" s="4">
        <v>1.2</v>
      </c>
      <c r="M487" s="4">
        <v>2</v>
      </c>
      <c r="N487" s="4">
        <v>1242</v>
      </c>
      <c r="O487" s="4" t="str">
        <f t="shared" si="14"/>
        <v>Discount</v>
      </c>
      <c r="P487" s="5">
        <f t="shared" si="15"/>
        <v>97491.6</v>
      </c>
    </row>
    <row r="488" spans="1:16" x14ac:dyDescent="0.25">
      <c r="A488" s="4">
        <v>2017</v>
      </c>
      <c r="B488" s="4">
        <v>2</v>
      </c>
      <c r="C488" s="12" t="s">
        <v>30</v>
      </c>
      <c r="D488" s="4" t="s">
        <v>24</v>
      </c>
      <c r="E488" s="4" t="s">
        <v>17</v>
      </c>
      <c r="F488" s="4" t="s">
        <v>25</v>
      </c>
      <c r="G488" s="5">
        <v>50689</v>
      </c>
      <c r="H488" s="5">
        <v>427078</v>
      </c>
      <c r="I488" s="4">
        <v>39</v>
      </c>
      <c r="J488" s="4">
        <v>0.97</v>
      </c>
      <c r="K488" s="4">
        <v>6.29</v>
      </c>
      <c r="L488" s="4">
        <v>1.2</v>
      </c>
      <c r="M488" s="4">
        <v>6</v>
      </c>
      <c r="N488" s="4">
        <v>406</v>
      </c>
      <c r="O488" s="4" t="str">
        <f t="shared" si="14"/>
        <v>EMI</v>
      </c>
      <c r="P488" s="5">
        <f t="shared" si="15"/>
        <v>51297.268000000004</v>
      </c>
    </row>
    <row r="489" spans="1:16" x14ac:dyDescent="0.25">
      <c r="A489" s="4">
        <v>2018</v>
      </c>
      <c r="B489" s="4">
        <v>2</v>
      </c>
      <c r="C489" s="12" t="s">
        <v>26</v>
      </c>
      <c r="D489" s="4" t="s">
        <v>16</v>
      </c>
      <c r="E489" s="4" t="s">
        <v>14</v>
      </c>
      <c r="F489" s="4" t="s">
        <v>15</v>
      </c>
      <c r="G489" s="5">
        <v>35066</v>
      </c>
      <c r="H489" s="5">
        <v>183501</v>
      </c>
      <c r="I489" s="4">
        <v>273</v>
      </c>
      <c r="J489" s="4">
        <v>0.97</v>
      </c>
      <c r="K489" s="4">
        <v>6.29</v>
      </c>
      <c r="L489" s="4">
        <v>1.2</v>
      </c>
      <c r="M489" s="4">
        <v>1</v>
      </c>
      <c r="N489" s="4">
        <v>878</v>
      </c>
      <c r="O489" s="4" t="str">
        <f t="shared" si="14"/>
        <v>Full</v>
      </c>
      <c r="P489" s="5">
        <f t="shared" si="15"/>
        <v>35066</v>
      </c>
    </row>
    <row r="490" spans="1:16" x14ac:dyDescent="0.25">
      <c r="A490" s="4">
        <v>2016</v>
      </c>
      <c r="B490" s="4">
        <v>1</v>
      </c>
      <c r="C490" s="12" t="s">
        <v>12</v>
      </c>
      <c r="D490" s="4" t="s">
        <v>31</v>
      </c>
      <c r="E490" s="4" t="s">
        <v>17</v>
      </c>
      <c r="F490" s="4" t="s">
        <v>21</v>
      </c>
      <c r="G490" s="5">
        <v>80246</v>
      </c>
      <c r="H490" s="5">
        <v>354094</v>
      </c>
      <c r="I490" s="4">
        <v>107</v>
      </c>
      <c r="J490" s="4">
        <v>0.97</v>
      </c>
      <c r="K490" s="4">
        <v>6.29</v>
      </c>
      <c r="L490" s="4">
        <v>1.2</v>
      </c>
      <c r="M490" s="4">
        <v>1</v>
      </c>
      <c r="N490" s="4">
        <v>479</v>
      </c>
      <c r="O490" s="4" t="str">
        <f t="shared" si="14"/>
        <v>Discount</v>
      </c>
      <c r="P490" s="5">
        <f t="shared" si="15"/>
        <v>72221.400000000009</v>
      </c>
    </row>
    <row r="491" spans="1:16" x14ac:dyDescent="0.25">
      <c r="A491" s="4">
        <v>2015</v>
      </c>
      <c r="B491" s="4">
        <v>8</v>
      </c>
      <c r="C491" s="12" t="s">
        <v>34</v>
      </c>
      <c r="D491" s="4" t="s">
        <v>32</v>
      </c>
      <c r="E491" s="4" t="s">
        <v>18</v>
      </c>
      <c r="F491" s="4" t="s">
        <v>15</v>
      </c>
      <c r="G491" s="5">
        <v>42533</v>
      </c>
      <c r="H491" s="5">
        <v>110654</v>
      </c>
      <c r="I491" s="4">
        <v>322</v>
      </c>
      <c r="J491" s="4">
        <v>0.97</v>
      </c>
      <c r="K491" s="4">
        <v>6.29</v>
      </c>
      <c r="L491" s="4">
        <v>1.2</v>
      </c>
      <c r="M491" s="4">
        <v>5</v>
      </c>
      <c r="N491" s="4">
        <v>721</v>
      </c>
      <c r="O491" s="4" t="str">
        <f t="shared" si="14"/>
        <v>EMI</v>
      </c>
      <c r="P491" s="5">
        <f t="shared" si="15"/>
        <v>43043.396000000001</v>
      </c>
    </row>
    <row r="492" spans="1:16" x14ac:dyDescent="0.25">
      <c r="A492" s="4">
        <v>2021</v>
      </c>
      <c r="B492" s="4">
        <v>3</v>
      </c>
      <c r="C492" s="12" t="s">
        <v>35</v>
      </c>
      <c r="D492" s="4" t="s">
        <v>29</v>
      </c>
      <c r="E492" s="4" t="s">
        <v>18</v>
      </c>
      <c r="F492" s="4" t="s">
        <v>15</v>
      </c>
      <c r="G492" s="5">
        <v>115639</v>
      </c>
      <c r="H492" s="5">
        <v>419566</v>
      </c>
      <c r="I492" s="4">
        <v>376</v>
      </c>
      <c r="J492" s="4">
        <v>0.97</v>
      </c>
      <c r="K492" s="4">
        <v>6.29</v>
      </c>
      <c r="L492" s="4">
        <v>1.2</v>
      </c>
      <c r="M492" s="4">
        <v>10</v>
      </c>
      <c r="N492" s="4">
        <v>1161</v>
      </c>
      <c r="O492" s="4" t="str">
        <f t="shared" si="14"/>
        <v>EMI</v>
      </c>
      <c r="P492" s="5">
        <f t="shared" si="15"/>
        <v>117026.66800000001</v>
      </c>
    </row>
    <row r="493" spans="1:16" x14ac:dyDescent="0.25">
      <c r="A493" s="4">
        <v>2022</v>
      </c>
      <c r="B493" s="4">
        <v>3</v>
      </c>
      <c r="C493" s="12" t="s">
        <v>30</v>
      </c>
      <c r="D493" s="4" t="s">
        <v>37</v>
      </c>
      <c r="E493" s="4" t="s">
        <v>18</v>
      </c>
      <c r="F493" s="4" t="s">
        <v>21</v>
      </c>
      <c r="G493" s="5">
        <v>105152</v>
      </c>
      <c r="H493" s="5">
        <v>422078</v>
      </c>
      <c r="I493" s="4">
        <v>338</v>
      </c>
      <c r="J493" s="4">
        <v>0.97</v>
      </c>
      <c r="K493" s="4">
        <v>6.29</v>
      </c>
      <c r="L493" s="4">
        <v>1.2</v>
      </c>
      <c r="M493" s="4">
        <v>9</v>
      </c>
      <c r="N493" s="4">
        <v>717</v>
      </c>
      <c r="O493" s="4" t="str">
        <f t="shared" si="14"/>
        <v>EMI</v>
      </c>
      <c r="P493" s="5">
        <f t="shared" si="15"/>
        <v>106413.82400000001</v>
      </c>
    </row>
    <row r="494" spans="1:16" x14ac:dyDescent="0.25">
      <c r="A494" s="4">
        <v>2021</v>
      </c>
      <c r="B494" s="4">
        <v>6</v>
      </c>
      <c r="C494" s="12" t="s">
        <v>34</v>
      </c>
      <c r="D494" s="4" t="s">
        <v>27</v>
      </c>
      <c r="E494" s="4" t="s">
        <v>17</v>
      </c>
      <c r="F494" s="4" t="s">
        <v>25</v>
      </c>
      <c r="G494" s="5">
        <v>94658</v>
      </c>
      <c r="H494" s="5">
        <v>169975</v>
      </c>
      <c r="I494" s="4">
        <v>124</v>
      </c>
      <c r="J494" s="4">
        <v>0.97</v>
      </c>
      <c r="K494" s="4">
        <v>6.29</v>
      </c>
      <c r="L494" s="4">
        <v>1.2</v>
      </c>
      <c r="M494" s="4">
        <v>8</v>
      </c>
      <c r="N494" s="4">
        <v>428</v>
      </c>
      <c r="O494" s="4" t="str">
        <f t="shared" si="14"/>
        <v>EMI</v>
      </c>
      <c r="P494" s="5">
        <f t="shared" si="15"/>
        <v>95793.896000000008</v>
      </c>
    </row>
    <row r="495" spans="1:16" x14ac:dyDescent="0.25">
      <c r="A495" s="4">
        <v>2019</v>
      </c>
      <c r="B495" s="4">
        <v>8</v>
      </c>
      <c r="C495" s="12" t="s">
        <v>33</v>
      </c>
      <c r="D495" s="4" t="s">
        <v>37</v>
      </c>
      <c r="E495" s="4" t="s">
        <v>14</v>
      </c>
      <c r="F495" s="4" t="s">
        <v>21</v>
      </c>
      <c r="G495" s="5">
        <v>73498</v>
      </c>
      <c r="H495" s="5">
        <v>249215</v>
      </c>
      <c r="I495" s="4">
        <v>285</v>
      </c>
      <c r="J495" s="4">
        <v>0.97</v>
      </c>
      <c r="K495" s="4">
        <v>6.29</v>
      </c>
      <c r="L495" s="4">
        <v>1.2</v>
      </c>
      <c r="M495" s="4">
        <v>3</v>
      </c>
      <c r="N495" s="4">
        <v>929</v>
      </c>
      <c r="O495" s="4" t="str">
        <f t="shared" si="14"/>
        <v>EMI</v>
      </c>
      <c r="P495" s="5">
        <f t="shared" si="15"/>
        <v>74379.975999999995</v>
      </c>
    </row>
    <row r="496" spans="1:16" x14ac:dyDescent="0.25">
      <c r="A496" s="4">
        <v>2015</v>
      </c>
      <c r="B496" s="4">
        <v>9</v>
      </c>
      <c r="C496" s="12" t="s">
        <v>19</v>
      </c>
      <c r="D496" s="4" t="s">
        <v>29</v>
      </c>
      <c r="E496" s="4" t="s">
        <v>14</v>
      </c>
      <c r="F496" s="4" t="s">
        <v>15</v>
      </c>
      <c r="G496" s="5">
        <v>46772</v>
      </c>
      <c r="H496" s="5">
        <v>403330</v>
      </c>
      <c r="I496" s="4">
        <v>290</v>
      </c>
      <c r="J496" s="4">
        <v>0.97</v>
      </c>
      <c r="K496" s="4">
        <v>6.29</v>
      </c>
      <c r="L496" s="4">
        <v>1.2</v>
      </c>
      <c r="M496" s="4">
        <v>3</v>
      </c>
      <c r="N496" s="4">
        <v>1044</v>
      </c>
      <c r="O496" s="4" t="str">
        <f t="shared" si="14"/>
        <v>EMI</v>
      </c>
      <c r="P496" s="5">
        <f t="shared" si="15"/>
        <v>47333.264000000003</v>
      </c>
    </row>
    <row r="497" spans="1:16" x14ac:dyDescent="0.25">
      <c r="A497" s="4">
        <v>2021</v>
      </c>
      <c r="B497" s="4">
        <v>9</v>
      </c>
      <c r="C497" s="12" t="s">
        <v>12</v>
      </c>
      <c r="D497" s="4" t="s">
        <v>22</v>
      </c>
      <c r="E497" s="4" t="s">
        <v>17</v>
      </c>
      <c r="F497" s="4" t="s">
        <v>21</v>
      </c>
      <c r="G497" s="5">
        <v>84036</v>
      </c>
      <c r="H497" s="5">
        <v>416378</v>
      </c>
      <c r="I497" s="4">
        <v>284</v>
      </c>
      <c r="J497" s="4">
        <v>0.97</v>
      </c>
      <c r="K497" s="4">
        <v>6.29</v>
      </c>
      <c r="L497" s="4">
        <v>1.2</v>
      </c>
      <c r="M497" s="4">
        <v>1</v>
      </c>
      <c r="N497" s="4">
        <v>1016</v>
      </c>
      <c r="O497" s="4" t="str">
        <f t="shared" si="14"/>
        <v>Discount</v>
      </c>
      <c r="P497" s="5">
        <f t="shared" si="15"/>
        <v>75632.400000000009</v>
      </c>
    </row>
    <row r="498" spans="1:16" x14ac:dyDescent="0.25">
      <c r="A498" s="4">
        <v>2021</v>
      </c>
      <c r="B498" s="4">
        <v>4</v>
      </c>
      <c r="C498" s="12" t="s">
        <v>34</v>
      </c>
      <c r="D498" s="4" t="s">
        <v>16</v>
      </c>
      <c r="E498" s="4" t="s">
        <v>17</v>
      </c>
      <c r="F498" s="4" t="s">
        <v>15</v>
      </c>
      <c r="G498" s="5">
        <v>93531</v>
      </c>
      <c r="H498" s="5">
        <v>152326</v>
      </c>
      <c r="I498" s="4">
        <v>270</v>
      </c>
      <c r="J498" s="4">
        <v>0.97</v>
      </c>
      <c r="K498" s="4">
        <v>6.29</v>
      </c>
      <c r="L498" s="4">
        <v>1.2</v>
      </c>
      <c r="M498" s="4">
        <v>3</v>
      </c>
      <c r="N498" s="4">
        <v>602</v>
      </c>
      <c r="O498" s="4" t="str">
        <f t="shared" si="14"/>
        <v>EMI</v>
      </c>
      <c r="P498" s="5">
        <f t="shared" si="15"/>
        <v>94653.372000000003</v>
      </c>
    </row>
    <row r="499" spans="1:16" x14ac:dyDescent="0.25">
      <c r="A499" s="4">
        <v>2023</v>
      </c>
      <c r="B499" s="4">
        <v>5</v>
      </c>
      <c r="C499" s="12" t="s">
        <v>36</v>
      </c>
      <c r="D499" s="4" t="s">
        <v>27</v>
      </c>
      <c r="E499" s="4" t="s">
        <v>14</v>
      </c>
      <c r="F499" s="4" t="s">
        <v>21</v>
      </c>
      <c r="G499" s="5">
        <v>47940</v>
      </c>
      <c r="H499" s="5">
        <v>127527</v>
      </c>
      <c r="I499" s="4">
        <v>340</v>
      </c>
      <c r="J499" s="4">
        <v>0.97</v>
      </c>
      <c r="K499" s="4">
        <v>6.29</v>
      </c>
      <c r="L499" s="4">
        <v>1.2</v>
      </c>
      <c r="M499" s="4">
        <v>1</v>
      </c>
      <c r="N499" s="4">
        <v>1109</v>
      </c>
      <c r="O499" s="4" t="str">
        <f t="shared" si="14"/>
        <v>Full</v>
      </c>
      <c r="P499" s="5">
        <f t="shared" si="15"/>
        <v>47940</v>
      </c>
    </row>
    <row r="500" spans="1:16" x14ac:dyDescent="0.25">
      <c r="A500" s="4">
        <v>2017</v>
      </c>
      <c r="B500" s="4">
        <v>2</v>
      </c>
      <c r="C500" s="12" t="s">
        <v>23</v>
      </c>
      <c r="D500" s="4" t="s">
        <v>37</v>
      </c>
      <c r="E500" s="4" t="s">
        <v>14</v>
      </c>
      <c r="F500" s="4" t="s">
        <v>18</v>
      </c>
      <c r="G500" s="5">
        <v>51932</v>
      </c>
      <c r="H500" s="5">
        <v>398848</v>
      </c>
      <c r="I500" s="4">
        <v>216</v>
      </c>
      <c r="J500" s="4">
        <v>0.97</v>
      </c>
      <c r="K500" s="4">
        <v>6.29</v>
      </c>
      <c r="L500" s="4">
        <v>1.2</v>
      </c>
      <c r="M500" s="4">
        <v>8</v>
      </c>
      <c r="N500" s="4">
        <v>711</v>
      </c>
      <c r="O500" s="4" t="str">
        <f t="shared" si="14"/>
        <v>EMI</v>
      </c>
      <c r="P500" s="5">
        <f t="shared" si="15"/>
        <v>52555.184000000001</v>
      </c>
    </row>
    <row r="501" spans="1:16" x14ac:dyDescent="0.25">
      <c r="A501" s="4">
        <v>2023</v>
      </c>
      <c r="B501" s="4">
        <v>11</v>
      </c>
      <c r="C501" s="12" t="s">
        <v>23</v>
      </c>
      <c r="D501" s="4" t="s">
        <v>27</v>
      </c>
      <c r="E501" s="4" t="s">
        <v>14</v>
      </c>
      <c r="F501" s="4" t="s">
        <v>18</v>
      </c>
      <c r="G501" s="5">
        <v>91827</v>
      </c>
      <c r="H501" s="5">
        <v>474315</v>
      </c>
      <c r="I501" s="4">
        <v>393</v>
      </c>
      <c r="J501" s="4">
        <v>0.97</v>
      </c>
      <c r="K501" s="4">
        <v>6.29</v>
      </c>
      <c r="L501" s="4">
        <v>1.2</v>
      </c>
      <c r="M501" s="4">
        <v>1</v>
      </c>
      <c r="N501" s="4">
        <v>896</v>
      </c>
      <c r="O501" s="4" t="str">
        <f t="shared" si="14"/>
        <v>Discount</v>
      </c>
      <c r="P501" s="5">
        <f t="shared" si="15"/>
        <v>82644.3</v>
      </c>
    </row>
    <row r="502" spans="1:16" x14ac:dyDescent="0.25">
      <c r="A502" s="4">
        <v>2015</v>
      </c>
      <c r="B502" s="4">
        <v>9</v>
      </c>
      <c r="C502" s="12" t="s">
        <v>12</v>
      </c>
      <c r="D502" s="4" t="s">
        <v>32</v>
      </c>
      <c r="E502" s="4" t="s">
        <v>14</v>
      </c>
      <c r="F502" s="4" t="s">
        <v>21</v>
      </c>
      <c r="G502" s="5">
        <v>96431</v>
      </c>
      <c r="H502" s="5">
        <v>482601</v>
      </c>
      <c r="I502" s="4">
        <v>337</v>
      </c>
      <c r="J502" s="4">
        <v>0.97</v>
      </c>
      <c r="K502" s="4">
        <v>6.29</v>
      </c>
      <c r="L502" s="4">
        <v>1.2</v>
      </c>
      <c r="M502" s="4">
        <v>5</v>
      </c>
      <c r="N502" s="4">
        <v>937</v>
      </c>
      <c r="O502" s="4" t="str">
        <f t="shared" si="14"/>
        <v>EMI</v>
      </c>
      <c r="P502" s="5">
        <f t="shared" si="15"/>
        <v>97588.172000000006</v>
      </c>
    </row>
    <row r="503" spans="1:16" x14ac:dyDescent="0.25">
      <c r="A503" s="4">
        <v>2015</v>
      </c>
      <c r="B503" s="4">
        <v>8</v>
      </c>
      <c r="C503" s="12" t="s">
        <v>33</v>
      </c>
      <c r="D503" s="4" t="s">
        <v>32</v>
      </c>
      <c r="E503" s="4" t="s">
        <v>17</v>
      </c>
      <c r="F503" s="4" t="s">
        <v>25</v>
      </c>
      <c r="G503" s="5">
        <v>59648</v>
      </c>
      <c r="H503" s="5">
        <v>216991</v>
      </c>
      <c r="I503" s="4">
        <v>220</v>
      </c>
      <c r="J503" s="4">
        <v>0.97</v>
      </c>
      <c r="K503" s="4">
        <v>6.29</v>
      </c>
      <c r="L503" s="4">
        <v>1.2</v>
      </c>
      <c r="M503" s="4">
        <v>9</v>
      </c>
      <c r="N503" s="4">
        <v>724</v>
      </c>
      <c r="O503" s="4" t="str">
        <f t="shared" si="14"/>
        <v>EMI</v>
      </c>
      <c r="P503" s="5">
        <f t="shared" si="15"/>
        <v>60363.775999999998</v>
      </c>
    </row>
    <row r="504" spans="1:16" x14ac:dyDescent="0.25">
      <c r="A504" s="4">
        <v>2018</v>
      </c>
      <c r="B504" s="4">
        <v>3</v>
      </c>
      <c r="C504" s="12" t="s">
        <v>23</v>
      </c>
      <c r="D504" s="4" t="s">
        <v>32</v>
      </c>
      <c r="E504" s="4" t="s">
        <v>17</v>
      </c>
      <c r="F504" s="4" t="s">
        <v>15</v>
      </c>
      <c r="G504" s="5">
        <v>67966</v>
      </c>
      <c r="H504" s="5">
        <v>146952</v>
      </c>
      <c r="I504" s="4">
        <v>224</v>
      </c>
      <c r="J504" s="4">
        <v>0.97</v>
      </c>
      <c r="K504" s="4">
        <v>6.29</v>
      </c>
      <c r="L504" s="4">
        <v>1.2</v>
      </c>
      <c r="M504" s="4">
        <v>7</v>
      </c>
      <c r="N504" s="4">
        <v>480</v>
      </c>
      <c r="O504" s="4" t="str">
        <f t="shared" si="14"/>
        <v>EMI</v>
      </c>
      <c r="P504" s="5">
        <f t="shared" si="15"/>
        <v>68781.592000000004</v>
      </c>
    </row>
    <row r="505" spans="1:16" x14ac:dyDescent="0.25">
      <c r="A505" s="4">
        <v>2023</v>
      </c>
      <c r="B505" s="4">
        <v>11</v>
      </c>
      <c r="C505" s="12" t="s">
        <v>34</v>
      </c>
      <c r="D505" s="4" t="s">
        <v>29</v>
      </c>
      <c r="E505" s="4" t="s">
        <v>18</v>
      </c>
      <c r="F505" s="4" t="s">
        <v>18</v>
      </c>
      <c r="G505" s="5">
        <v>62777</v>
      </c>
      <c r="H505" s="5">
        <v>372926</v>
      </c>
      <c r="I505" s="4">
        <v>49</v>
      </c>
      <c r="J505" s="4">
        <v>0.97</v>
      </c>
      <c r="K505" s="4">
        <v>6.29</v>
      </c>
      <c r="L505" s="4">
        <v>1.2</v>
      </c>
      <c r="M505" s="4">
        <v>4</v>
      </c>
      <c r="N505" s="4">
        <v>157</v>
      </c>
      <c r="O505" s="4" t="str">
        <f t="shared" si="14"/>
        <v>EMI</v>
      </c>
      <c r="P505" s="5">
        <f t="shared" si="15"/>
        <v>63530.324000000001</v>
      </c>
    </row>
    <row r="506" spans="1:16" x14ac:dyDescent="0.25">
      <c r="A506" s="4">
        <v>2020</v>
      </c>
      <c r="B506" s="4">
        <v>12</v>
      </c>
      <c r="C506" s="12" t="s">
        <v>35</v>
      </c>
      <c r="D506" s="4" t="s">
        <v>16</v>
      </c>
      <c r="E506" s="4" t="s">
        <v>14</v>
      </c>
      <c r="F506" s="4" t="s">
        <v>25</v>
      </c>
      <c r="G506" s="5">
        <v>67567</v>
      </c>
      <c r="H506" s="5">
        <v>383260</v>
      </c>
      <c r="I506" s="4">
        <v>35</v>
      </c>
      <c r="J506" s="4">
        <v>0.97</v>
      </c>
      <c r="K506" s="4">
        <v>6.29</v>
      </c>
      <c r="L506" s="4">
        <v>1.2</v>
      </c>
      <c r="M506" s="4">
        <v>9</v>
      </c>
      <c r="N506" s="4">
        <v>488</v>
      </c>
      <c r="O506" s="4" t="str">
        <f t="shared" si="14"/>
        <v>EMI</v>
      </c>
      <c r="P506" s="5">
        <f t="shared" si="15"/>
        <v>68377.804000000004</v>
      </c>
    </row>
    <row r="507" spans="1:16" x14ac:dyDescent="0.25">
      <c r="A507" s="4">
        <v>2017</v>
      </c>
      <c r="B507" s="4">
        <v>9</v>
      </c>
      <c r="C507" s="12" t="s">
        <v>26</v>
      </c>
      <c r="D507" s="4" t="s">
        <v>29</v>
      </c>
      <c r="E507" s="4" t="s">
        <v>18</v>
      </c>
      <c r="F507" s="4" t="s">
        <v>15</v>
      </c>
      <c r="G507" s="5">
        <v>52174</v>
      </c>
      <c r="H507" s="5">
        <v>401770</v>
      </c>
      <c r="I507" s="4">
        <v>36</v>
      </c>
      <c r="J507" s="4">
        <v>0.97</v>
      </c>
      <c r="K507" s="4">
        <v>6.29</v>
      </c>
      <c r="L507" s="4">
        <v>1.2</v>
      </c>
      <c r="M507" s="4">
        <v>9</v>
      </c>
      <c r="N507" s="4">
        <v>149</v>
      </c>
      <c r="O507" s="4" t="str">
        <f t="shared" si="14"/>
        <v>EMI</v>
      </c>
      <c r="P507" s="5">
        <f t="shared" si="15"/>
        <v>52800.088000000003</v>
      </c>
    </row>
    <row r="508" spans="1:16" x14ac:dyDescent="0.25">
      <c r="A508" s="4">
        <v>2015</v>
      </c>
      <c r="B508" s="4">
        <v>3</v>
      </c>
      <c r="C508" s="12" t="s">
        <v>26</v>
      </c>
      <c r="D508" s="4" t="s">
        <v>13</v>
      </c>
      <c r="E508" s="4" t="s">
        <v>17</v>
      </c>
      <c r="F508" s="4" t="s">
        <v>18</v>
      </c>
      <c r="G508" s="5">
        <v>77598</v>
      </c>
      <c r="H508" s="5">
        <v>483603</v>
      </c>
      <c r="I508" s="4">
        <v>199</v>
      </c>
      <c r="J508" s="4">
        <v>0.97</v>
      </c>
      <c r="K508" s="4">
        <v>6.29</v>
      </c>
      <c r="L508" s="4">
        <v>1.2</v>
      </c>
      <c r="M508" s="4">
        <v>2</v>
      </c>
      <c r="N508" s="4">
        <v>863</v>
      </c>
      <c r="O508" s="4" t="str">
        <f t="shared" si="14"/>
        <v>Discount</v>
      </c>
      <c r="P508" s="5">
        <f t="shared" si="15"/>
        <v>69838.2</v>
      </c>
    </row>
    <row r="509" spans="1:16" x14ac:dyDescent="0.25">
      <c r="A509" s="4">
        <v>2018</v>
      </c>
      <c r="B509" s="4">
        <v>9</v>
      </c>
      <c r="C509" s="12" t="s">
        <v>30</v>
      </c>
      <c r="D509" s="4" t="s">
        <v>22</v>
      </c>
      <c r="E509" s="4" t="s">
        <v>17</v>
      </c>
      <c r="F509" s="4" t="s">
        <v>18</v>
      </c>
      <c r="G509" s="5">
        <v>94199</v>
      </c>
      <c r="H509" s="5">
        <v>196895</v>
      </c>
      <c r="I509" s="4">
        <v>92</v>
      </c>
      <c r="J509" s="4">
        <v>0.97</v>
      </c>
      <c r="K509" s="4">
        <v>6.29</v>
      </c>
      <c r="L509" s="4">
        <v>1.2</v>
      </c>
      <c r="M509" s="4">
        <v>10</v>
      </c>
      <c r="N509" s="4">
        <v>512</v>
      </c>
      <c r="O509" s="4" t="str">
        <f t="shared" si="14"/>
        <v>EMI</v>
      </c>
      <c r="P509" s="5">
        <f t="shared" si="15"/>
        <v>95329.388000000006</v>
      </c>
    </row>
    <row r="510" spans="1:16" x14ac:dyDescent="0.25">
      <c r="A510" s="4">
        <v>2023</v>
      </c>
      <c r="B510" s="4">
        <v>2</v>
      </c>
      <c r="C510" s="12" t="s">
        <v>28</v>
      </c>
      <c r="D510" s="4" t="s">
        <v>22</v>
      </c>
      <c r="E510" s="4" t="s">
        <v>18</v>
      </c>
      <c r="F510" s="4" t="s">
        <v>21</v>
      </c>
      <c r="G510" s="5">
        <v>48798</v>
      </c>
      <c r="H510" s="5">
        <v>96015</v>
      </c>
      <c r="I510" s="4">
        <v>393</v>
      </c>
      <c r="J510" s="4">
        <v>0.97</v>
      </c>
      <c r="K510" s="4">
        <v>6.29</v>
      </c>
      <c r="L510" s="4">
        <v>1.2</v>
      </c>
      <c r="M510" s="4">
        <v>10</v>
      </c>
      <c r="N510" s="4">
        <v>1153</v>
      </c>
      <c r="O510" s="4" t="str">
        <f t="shared" si="14"/>
        <v>EMI</v>
      </c>
      <c r="P510" s="5">
        <f t="shared" si="15"/>
        <v>49383.576000000001</v>
      </c>
    </row>
    <row r="511" spans="1:16" x14ac:dyDescent="0.25">
      <c r="A511" s="4">
        <v>2017</v>
      </c>
      <c r="B511" s="4">
        <v>12</v>
      </c>
      <c r="C511" s="12" t="s">
        <v>19</v>
      </c>
      <c r="D511" s="4" t="s">
        <v>32</v>
      </c>
      <c r="E511" s="4" t="s">
        <v>14</v>
      </c>
      <c r="F511" s="4" t="s">
        <v>15</v>
      </c>
      <c r="G511" s="5">
        <v>100364</v>
      </c>
      <c r="H511" s="5">
        <v>152877</v>
      </c>
      <c r="I511" s="4">
        <v>179</v>
      </c>
      <c r="J511" s="4">
        <v>0.97</v>
      </c>
      <c r="K511" s="4">
        <v>6.29</v>
      </c>
      <c r="L511" s="4">
        <v>1.2</v>
      </c>
      <c r="M511" s="4">
        <v>6</v>
      </c>
      <c r="N511" s="4">
        <v>639</v>
      </c>
      <c r="O511" s="4" t="str">
        <f t="shared" si="14"/>
        <v>EMI</v>
      </c>
      <c r="P511" s="5">
        <f t="shared" si="15"/>
        <v>101568.368</v>
      </c>
    </row>
    <row r="512" spans="1:16" x14ac:dyDescent="0.25">
      <c r="A512" s="4">
        <v>2023</v>
      </c>
      <c r="B512" s="4">
        <v>10</v>
      </c>
      <c r="C512" s="12" t="s">
        <v>12</v>
      </c>
      <c r="D512" s="4" t="s">
        <v>13</v>
      </c>
      <c r="E512" s="4" t="s">
        <v>14</v>
      </c>
      <c r="F512" s="4" t="s">
        <v>25</v>
      </c>
      <c r="G512" s="5">
        <v>52558</v>
      </c>
      <c r="H512" s="5">
        <v>327483</v>
      </c>
      <c r="I512" s="4">
        <v>176</v>
      </c>
      <c r="J512" s="4">
        <v>0.97</v>
      </c>
      <c r="K512" s="4">
        <v>6.29</v>
      </c>
      <c r="L512" s="4">
        <v>1.2</v>
      </c>
      <c r="M512" s="4">
        <v>4</v>
      </c>
      <c r="N512" s="4">
        <v>545</v>
      </c>
      <c r="O512" s="4" t="str">
        <f t="shared" si="14"/>
        <v>EMI</v>
      </c>
      <c r="P512" s="5">
        <f t="shared" si="15"/>
        <v>53188.696000000004</v>
      </c>
    </row>
    <row r="513" spans="1:16" x14ac:dyDescent="0.25">
      <c r="A513" s="4">
        <v>2021</v>
      </c>
      <c r="B513" s="4">
        <v>9</v>
      </c>
      <c r="C513" s="12" t="s">
        <v>30</v>
      </c>
      <c r="D513" s="4" t="s">
        <v>31</v>
      </c>
      <c r="E513" s="4" t="s">
        <v>14</v>
      </c>
      <c r="F513" s="4" t="s">
        <v>25</v>
      </c>
      <c r="G513" s="5">
        <v>96084</v>
      </c>
      <c r="H513" s="5">
        <v>184563</v>
      </c>
      <c r="I513" s="4">
        <v>197</v>
      </c>
      <c r="J513" s="4">
        <v>0.97</v>
      </c>
      <c r="K513" s="4">
        <v>6.29</v>
      </c>
      <c r="L513" s="4">
        <v>1.2</v>
      </c>
      <c r="M513" s="4">
        <v>8</v>
      </c>
      <c r="N513" s="4">
        <v>430</v>
      </c>
      <c r="O513" s="4" t="str">
        <f t="shared" si="14"/>
        <v>EMI</v>
      </c>
      <c r="P513" s="5">
        <f t="shared" si="15"/>
        <v>97237.008000000002</v>
      </c>
    </row>
    <row r="514" spans="1:16" x14ac:dyDescent="0.25">
      <c r="A514" s="4">
        <v>2018</v>
      </c>
      <c r="B514" s="4">
        <v>8</v>
      </c>
      <c r="C514" s="12" t="s">
        <v>28</v>
      </c>
      <c r="D514" s="4" t="s">
        <v>31</v>
      </c>
      <c r="E514" s="4" t="s">
        <v>14</v>
      </c>
      <c r="F514" s="4" t="s">
        <v>25</v>
      </c>
      <c r="G514" s="5">
        <v>79237</v>
      </c>
      <c r="H514" s="5">
        <v>443922</v>
      </c>
      <c r="I514" s="4">
        <v>178</v>
      </c>
      <c r="J514" s="4">
        <v>0.97</v>
      </c>
      <c r="K514" s="4">
        <v>6.29</v>
      </c>
      <c r="L514" s="4">
        <v>1.2</v>
      </c>
      <c r="M514" s="4">
        <v>7</v>
      </c>
      <c r="N514" s="4">
        <v>807</v>
      </c>
      <c r="O514" s="4" t="str">
        <f t="shared" ref="O514:O577" si="16">IF(M514&gt;2,"EMI",IF(H514&gt;300000,"Discount","Full"))</f>
        <v>EMI</v>
      </c>
      <c r="P514" s="5">
        <f t="shared" ref="P514:P577" si="17">IF(O514="EMI", G514*(1+L514/100), IF(O514="Full", G514, G514*0.9))</f>
        <v>80187.843999999997</v>
      </c>
    </row>
    <row r="515" spans="1:16" x14ac:dyDescent="0.25">
      <c r="A515" s="4">
        <v>2017</v>
      </c>
      <c r="B515" s="4">
        <v>9</v>
      </c>
      <c r="C515" s="12" t="s">
        <v>33</v>
      </c>
      <c r="D515" s="4" t="s">
        <v>32</v>
      </c>
      <c r="E515" s="4" t="s">
        <v>18</v>
      </c>
      <c r="F515" s="4" t="s">
        <v>15</v>
      </c>
      <c r="G515" s="5">
        <v>100497</v>
      </c>
      <c r="H515" s="5">
        <v>147493</v>
      </c>
      <c r="I515" s="4">
        <v>298</v>
      </c>
      <c r="J515" s="4">
        <v>0.97</v>
      </c>
      <c r="K515" s="4">
        <v>6.29</v>
      </c>
      <c r="L515" s="4">
        <v>1.2</v>
      </c>
      <c r="M515" s="4">
        <v>7</v>
      </c>
      <c r="N515" s="4">
        <v>622</v>
      </c>
      <c r="O515" s="4" t="str">
        <f t="shared" si="16"/>
        <v>EMI</v>
      </c>
      <c r="P515" s="5">
        <f t="shared" si="17"/>
        <v>101702.96400000001</v>
      </c>
    </row>
    <row r="516" spans="1:16" x14ac:dyDescent="0.25">
      <c r="A516" s="4">
        <v>2024</v>
      </c>
      <c r="B516" s="4">
        <v>5</v>
      </c>
      <c r="C516" s="12" t="s">
        <v>36</v>
      </c>
      <c r="D516" s="4" t="s">
        <v>37</v>
      </c>
      <c r="E516" s="4" t="s">
        <v>18</v>
      </c>
      <c r="F516" s="4" t="s">
        <v>25</v>
      </c>
      <c r="G516" s="5">
        <v>35178</v>
      </c>
      <c r="H516" s="5">
        <v>196800</v>
      </c>
      <c r="I516" s="4">
        <v>238</v>
      </c>
      <c r="J516" s="4">
        <v>0.97</v>
      </c>
      <c r="K516" s="4">
        <v>6.29</v>
      </c>
      <c r="L516" s="4">
        <v>1.2</v>
      </c>
      <c r="M516" s="4">
        <v>10</v>
      </c>
      <c r="N516" s="4">
        <v>805</v>
      </c>
      <c r="O516" s="4" t="str">
        <f t="shared" si="16"/>
        <v>EMI</v>
      </c>
      <c r="P516" s="5">
        <f t="shared" si="17"/>
        <v>35600.135999999999</v>
      </c>
    </row>
    <row r="517" spans="1:16" x14ac:dyDescent="0.25">
      <c r="A517" s="4">
        <v>2019</v>
      </c>
      <c r="B517" s="4">
        <v>11</v>
      </c>
      <c r="C517" s="12" t="s">
        <v>36</v>
      </c>
      <c r="D517" s="4" t="s">
        <v>29</v>
      </c>
      <c r="E517" s="4" t="s">
        <v>17</v>
      </c>
      <c r="F517" s="4" t="s">
        <v>25</v>
      </c>
      <c r="G517" s="5">
        <v>52118</v>
      </c>
      <c r="H517" s="5">
        <v>450213</v>
      </c>
      <c r="I517" s="4">
        <v>106</v>
      </c>
      <c r="J517" s="4">
        <v>0.97</v>
      </c>
      <c r="K517" s="4">
        <v>6.29</v>
      </c>
      <c r="L517" s="4">
        <v>1.2</v>
      </c>
      <c r="M517" s="4">
        <v>9</v>
      </c>
      <c r="N517" s="4">
        <v>667</v>
      </c>
      <c r="O517" s="4" t="str">
        <f t="shared" si="16"/>
        <v>EMI</v>
      </c>
      <c r="P517" s="5">
        <f t="shared" si="17"/>
        <v>52743.415999999997</v>
      </c>
    </row>
    <row r="518" spans="1:16" x14ac:dyDescent="0.25">
      <c r="A518" s="4">
        <v>2019</v>
      </c>
      <c r="B518" s="4">
        <v>11</v>
      </c>
      <c r="C518" s="12" t="s">
        <v>19</v>
      </c>
      <c r="D518" s="4" t="s">
        <v>32</v>
      </c>
      <c r="E518" s="4" t="s">
        <v>14</v>
      </c>
      <c r="F518" s="4" t="s">
        <v>25</v>
      </c>
      <c r="G518" s="5">
        <v>57616</v>
      </c>
      <c r="H518" s="5">
        <v>241480</v>
      </c>
      <c r="I518" s="4">
        <v>376</v>
      </c>
      <c r="J518" s="4">
        <v>0.97</v>
      </c>
      <c r="K518" s="4">
        <v>6.29</v>
      </c>
      <c r="L518" s="4">
        <v>1.2</v>
      </c>
      <c r="M518" s="4">
        <v>5</v>
      </c>
      <c r="N518" s="4">
        <v>1202</v>
      </c>
      <c r="O518" s="4" t="str">
        <f t="shared" si="16"/>
        <v>EMI</v>
      </c>
      <c r="P518" s="5">
        <f t="shared" si="17"/>
        <v>58307.392</v>
      </c>
    </row>
    <row r="519" spans="1:16" x14ac:dyDescent="0.25">
      <c r="A519" s="4">
        <v>2017</v>
      </c>
      <c r="B519" s="4">
        <v>2</v>
      </c>
      <c r="C519" s="12" t="s">
        <v>23</v>
      </c>
      <c r="D519" s="4" t="s">
        <v>24</v>
      </c>
      <c r="E519" s="4" t="s">
        <v>14</v>
      </c>
      <c r="F519" s="4" t="s">
        <v>21</v>
      </c>
      <c r="G519" s="5">
        <v>35798</v>
      </c>
      <c r="H519" s="5">
        <v>441670</v>
      </c>
      <c r="I519" s="4">
        <v>25</v>
      </c>
      <c r="J519" s="4">
        <v>0.97</v>
      </c>
      <c r="K519" s="4">
        <v>6.29</v>
      </c>
      <c r="L519" s="4">
        <v>1.2</v>
      </c>
      <c r="M519" s="4">
        <v>6</v>
      </c>
      <c r="N519" s="4">
        <v>151</v>
      </c>
      <c r="O519" s="4" t="str">
        <f t="shared" si="16"/>
        <v>EMI</v>
      </c>
      <c r="P519" s="5">
        <f t="shared" si="17"/>
        <v>36227.576000000001</v>
      </c>
    </row>
    <row r="520" spans="1:16" x14ac:dyDescent="0.25">
      <c r="A520" s="4">
        <v>2023</v>
      </c>
      <c r="B520" s="4">
        <v>8</v>
      </c>
      <c r="C520" s="12" t="s">
        <v>34</v>
      </c>
      <c r="D520" s="4" t="s">
        <v>27</v>
      </c>
      <c r="E520" s="4" t="s">
        <v>14</v>
      </c>
      <c r="F520" s="4" t="s">
        <v>21</v>
      </c>
      <c r="G520" s="5">
        <v>42601</v>
      </c>
      <c r="H520" s="5">
        <v>481739</v>
      </c>
      <c r="I520" s="4">
        <v>288</v>
      </c>
      <c r="J520" s="4">
        <v>0.97</v>
      </c>
      <c r="K520" s="4">
        <v>6.29</v>
      </c>
      <c r="L520" s="4">
        <v>1.2</v>
      </c>
      <c r="M520" s="4">
        <v>1</v>
      </c>
      <c r="N520" s="4">
        <v>711</v>
      </c>
      <c r="O520" s="4" t="str">
        <f t="shared" si="16"/>
        <v>Discount</v>
      </c>
      <c r="P520" s="5">
        <f t="shared" si="17"/>
        <v>38340.9</v>
      </c>
    </row>
    <row r="521" spans="1:16" x14ac:dyDescent="0.25">
      <c r="A521" s="4">
        <v>2018</v>
      </c>
      <c r="B521" s="4">
        <v>12</v>
      </c>
      <c r="C521" s="12" t="s">
        <v>30</v>
      </c>
      <c r="D521" s="4" t="s">
        <v>22</v>
      </c>
      <c r="E521" s="4" t="s">
        <v>18</v>
      </c>
      <c r="F521" s="4" t="s">
        <v>15</v>
      </c>
      <c r="G521" s="5">
        <v>60363</v>
      </c>
      <c r="H521" s="5">
        <v>171648</v>
      </c>
      <c r="I521" s="4">
        <v>144</v>
      </c>
      <c r="J521" s="4">
        <v>0.97</v>
      </c>
      <c r="K521" s="4">
        <v>6.29</v>
      </c>
      <c r="L521" s="4">
        <v>1.2</v>
      </c>
      <c r="M521" s="4">
        <v>6</v>
      </c>
      <c r="N521" s="4">
        <v>561</v>
      </c>
      <c r="O521" s="4" t="str">
        <f t="shared" si="16"/>
        <v>EMI</v>
      </c>
      <c r="P521" s="5">
        <f t="shared" si="17"/>
        <v>61087.356</v>
      </c>
    </row>
    <row r="522" spans="1:16" x14ac:dyDescent="0.25">
      <c r="A522" s="4">
        <v>2019</v>
      </c>
      <c r="B522" s="4">
        <v>6</v>
      </c>
      <c r="C522" s="12" t="s">
        <v>30</v>
      </c>
      <c r="D522" s="4" t="s">
        <v>31</v>
      </c>
      <c r="E522" s="4" t="s">
        <v>14</v>
      </c>
      <c r="F522" s="4" t="s">
        <v>15</v>
      </c>
      <c r="G522" s="5">
        <v>37795</v>
      </c>
      <c r="H522" s="5">
        <v>337307</v>
      </c>
      <c r="I522" s="4">
        <v>35</v>
      </c>
      <c r="J522" s="4">
        <v>0.97</v>
      </c>
      <c r="K522" s="4">
        <v>6.29</v>
      </c>
      <c r="L522" s="4">
        <v>1.2</v>
      </c>
      <c r="M522" s="4">
        <v>2</v>
      </c>
      <c r="N522" s="4">
        <v>192</v>
      </c>
      <c r="O522" s="4" t="str">
        <f t="shared" si="16"/>
        <v>Discount</v>
      </c>
      <c r="P522" s="5">
        <f t="shared" si="17"/>
        <v>34015.5</v>
      </c>
    </row>
    <row r="523" spans="1:16" x14ac:dyDescent="0.25">
      <c r="A523" s="4">
        <v>2018</v>
      </c>
      <c r="B523" s="4">
        <v>8</v>
      </c>
      <c r="C523" s="12" t="s">
        <v>12</v>
      </c>
      <c r="D523" s="4" t="s">
        <v>20</v>
      </c>
      <c r="E523" s="4" t="s">
        <v>18</v>
      </c>
      <c r="F523" s="4" t="s">
        <v>25</v>
      </c>
      <c r="G523" s="5">
        <v>80264</v>
      </c>
      <c r="H523" s="5">
        <v>198790</v>
      </c>
      <c r="I523" s="4">
        <v>361</v>
      </c>
      <c r="J523" s="4">
        <v>0.97</v>
      </c>
      <c r="K523" s="4">
        <v>6.29</v>
      </c>
      <c r="L523" s="4">
        <v>1.2</v>
      </c>
      <c r="M523" s="4">
        <v>6</v>
      </c>
      <c r="N523" s="4">
        <v>936</v>
      </c>
      <c r="O523" s="4" t="str">
        <f t="shared" si="16"/>
        <v>EMI</v>
      </c>
      <c r="P523" s="5">
        <f t="shared" si="17"/>
        <v>81227.168000000005</v>
      </c>
    </row>
    <row r="524" spans="1:16" x14ac:dyDescent="0.25">
      <c r="A524" s="4">
        <v>2019</v>
      </c>
      <c r="B524" s="4">
        <v>11</v>
      </c>
      <c r="C524" s="12" t="s">
        <v>12</v>
      </c>
      <c r="D524" s="4" t="s">
        <v>31</v>
      </c>
      <c r="E524" s="4" t="s">
        <v>14</v>
      </c>
      <c r="F524" s="4" t="s">
        <v>21</v>
      </c>
      <c r="G524" s="5">
        <v>107833</v>
      </c>
      <c r="H524" s="5">
        <v>137508</v>
      </c>
      <c r="I524" s="4">
        <v>21</v>
      </c>
      <c r="J524" s="4">
        <v>0.97</v>
      </c>
      <c r="K524" s="4">
        <v>6.29</v>
      </c>
      <c r="L524" s="4">
        <v>1.2</v>
      </c>
      <c r="M524" s="4">
        <v>9</v>
      </c>
      <c r="N524" s="4">
        <v>395</v>
      </c>
      <c r="O524" s="4" t="str">
        <f t="shared" si="16"/>
        <v>EMI</v>
      </c>
      <c r="P524" s="5">
        <f t="shared" si="17"/>
        <v>109126.996</v>
      </c>
    </row>
    <row r="525" spans="1:16" x14ac:dyDescent="0.25">
      <c r="A525" s="4">
        <v>2021</v>
      </c>
      <c r="B525" s="4">
        <v>5</v>
      </c>
      <c r="C525" s="12" t="s">
        <v>36</v>
      </c>
      <c r="D525" s="4" t="s">
        <v>22</v>
      </c>
      <c r="E525" s="4" t="s">
        <v>14</v>
      </c>
      <c r="F525" s="4" t="s">
        <v>18</v>
      </c>
      <c r="G525" s="5">
        <v>38084</v>
      </c>
      <c r="H525" s="5">
        <v>264839</v>
      </c>
      <c r="I525" s="4">
        <v>81</v>
      </c>
      <c r="J525" s="4">
        <v>0.97</v>
      </c>
      <c r="K525" s="4">
        <v>6.29</v>
      </c>
      <c r="L525" s="4">
        <v>1.2</v>
      </c>
      <c r="M525" s="4">
        <v>8</v>
      </c>
      <c r="N525" s="4">
        <v>267</v>
      </c>
      <c r="O525" s="4" t="str">
        <f t="shared" si="16"/>
        <v>EMI</v>
      </c>
      <c r="P525" s="5">
        <f t="shared" si="17"/>
        <v>38541.008000000002</v>
      </c>
    </row>
    <row r="526" spans="1:16" x14ac:dyDescent="0.25">
      <c r="A526" s="4">
        <v>2023</v>
      </c>
      <c r="B526" s="4">
        <v>10</v>
      </c>
      <c r="C526" s="12" t="s">
        <v>36</v>
      </c>
      <c r="D526" s="4" t="s">
        <v>27</v>
      </c>
      <c r="E526" s="4" t="s">
        <v>17</v>
      </c>
      <c r="F526" s="4" t="s">
        <v>18</v>
      </c>
      <c r="G526" s="5">
        <v>111646</v>
      </c>
      <c r="H526" s="5">
        <v>351763</v>
      </c>
      <c r="I526" s="4">
        <v>142</v>
      </c>
      <c r="J526" s="4">
        <v>0.97</v>
      </c>
      <c r="K526" s="4">
        <v>6.29</v>
      </c>
      <c r="L526" s="4">
        <v>1.2</v>
      </c>
      <c r="M526" s="4">
        <v>9</v>
      </c>
      <c r="N526" s="4">
        <v>716</v>
      </c>
      <c r="O526" s="4" t="str">
        <f t="shared" si="16"/>
        <v>EMI</v>
      </c>
      <c r="P526" s="5">
        <f t="shared" si="17"/>
        <v>112985.75200000001</v>
      </c>
    </row>
    <row r="527" spans="1:16" x14ac:dyDescent="0.25">
      <c r="A527" s="4">
        <v>2021</v>
      </c>
      <c r="B527" s="4">
        <v>2</v>
      </c>
      <c r="C527" s="12" t="s">
        <v>35</v>
      </c>
      <c r="D527" s="4" t="s">
        <v>22</v>
      </c>
      <c r="E527" s="4" t="s">
        <v>14</v>
      </c>
      <c r="F527" s="4" t="s">
        <v>25</v>
      </c>
      <c r="G527" s="5">
        <v>35731</v>
      </c>
      <c r="H527" s="5">
        <v>324270</v>
      </c>
      <c r="I527" s="4">
        <v>115</v>
      </c>
      <c r="J527" s="4">
        <v>0.97</v>
      </c>
      <c r="K527" s="4">
        <v>6.29</v>
      </c>
      <c r="L527" s="4">
        <v>1.2</v>
      </c>
      <c r="M527" s="4">
        <v>10</v>
      </c>
      <c r="N527" s="4">
        <v>524</v>
      </c>
      <c r="O527" s="4" t="str">
        <f t="shared" si="16"/>
        <v>EMI</v>
      </c>
      <c r="P527" s="5">
        <f t="shared" si="17"/>
        <v>36159.771999999997</v>
      </c>
    </row>
    <row r="528" spans="1:16" x14ac:dyDescent="0.25">
      <c r="A528" s="4">
        <v>2019</v>
      </c>
      <c r="B528" s="4">
        <v>6</v>
      </c>
      <c r="C528" s="12" t="s">
        <v>35</v>
      </c>
      <c r="D528" s="4" t="s">
        <v>20</v>
      </c>
      <c r="E528" s="4" t="s">
        <v>14</v>
      </c>
      <c r="F528" s="4" t="s">
        <v>25</v>
      </c>
      <c r="G528" s="5">
        <v>36129</v>
      </c>
      <c r="H528" s="5">
        <v>114926</v>
      </c>
      <c r="I528" s="4">
        <v>229</v>
      </c>
      <c r="J528" s="4">
        <v>0.97</v>
      </c>
      <c r="K528" s="4">
        <v>6.29</v>
      </c>
      <c r="L528" s="4">
        <v>1.2</v>
      </c>
      <c r="M528" s="4">
        <v>8</v>
      </c>
      <c r="N528" s="4">
        <v>717</v>
      </c>
      <c r="O528" s="4" t="str">
        <f t="shared" si="16"/>
        <v>EMI</v>
      </c>
      <c r="P528" s="5">
        <f t="shared" si="17"/>
        <v>36562.548000000003</v>
      </c>
    </row>
    <row r="529" spans="1:16" x14ac:dyDescent="0.25">
      <c r="A529" s="4">
        <v>2024</v>
      </c>
      <c r="B529" s="4">
        <v>5</v>
      </c>
      <c r="C529" s="12" t="s">
        <v>23</v>
      </c>
      <c r="D529" s="4" t="s">
        <v>32</v>
      </c>
      <c r="E529" s="4" t="s">
        <v>17</v>
      </c>
      <c r="F529" s="4" t="s">
        <v>21</v>
      </c>
      <c r="G529" s="5">
        <v>63022</v>
      </c>
      <c r="H529" s="5">
        <v>90633</v>
      </c>
      <c r="I529" s="4">
        <v>382</v>
      </c>
      <c r="J529" s="4">
        <v>0.97</v>
      </c>
      <c r="K529" s="4">
        <v>6.29</v>
      </c>
      <c r="L529" s="4">
        <v>1.2</v>
      </c>
      <c r="M529" s="4">
        <v>3</v>
      </c>
      <c r="N529" s="4">
        <v>935</v>
      </c>
      <c r="O529" s="4" t="str">
        <f t="shared" si="16"/>
        <v>EMI</v>
      </c>
      <c r="P529" s="5">
        <f t="shared" si="17"/>
        <v>63778.264000000003</v>
      </c>
    </row>
    <row r="530" spans="1:16" x14ac:dyDescent="0.25">
      <c r="A530" s="4">
        <v>2024</v>
      </c>
      <c r="B530" s="4">
        <v>12</v>
      </c>
      <c r="C530" s="12" t="s">
        <v>35</v>
      </c>
      <c r="D530" s="4" t="s">
        <v>13</v>
      </c>
      <c r="E530" s="4" t="s">
        <v>18</v>
      </c>
      <c r="F530" s="4" t="s">
        <v>21</v>
      </c>
      <c r="G530" s="5">
        <v>36605</v>
      </c>
      <c r="H530" s="5">
        <v>258726</v>
      </c>
      <c r="I530" s="4">
        <v>186</v>
      </c>
      <c r="J530" s="4">
        <v>0.97</v>
      </c>
      <c r="K530" s="4">
        <v>6.29</v>
      </c>
      <c r="L530" s="4">
        <v>1.2</v>
      </c>
      <c r="M530" s="4">
        <v>8</v>
      </c>
      <c r="N530" s="4">
        <v>622</v>
      </c>
      <c r="O530" s="4" t="str">
        <f t="shared" si="16"/>
        <v>EMI</v>
      </c>
      <c r="P530" s="5">
        <f t="shared" si="17"/>
        <v>37044.26</v>
      </c>
    </row>
    <row r="531" spans="1:16" x14ac:dyDescent="0.25">
      <c r="A531" s="4">
        <v>2021</v>
      </c>
      <c r="B531" s="4">
        <v>12</v>
      </c>
      <c r="C531" s="12" t="s">
        <v>34</v>
      </c>
      <c r="D531" s="4" t="s">
        <v>20</v>
      </c>
      <c r="E531" s="4" t="s">
        <v>18</v>
      </c>
      <c r="F531" s="4" t="s">
        <v>21</v>
      </c>
      <c r="G531" s="5">
        <v>112506</v>
      </c>
      <c r="H531" s="5">
        <v>53317</v>
      </c>
      <c r="I531" s="4">
        <v>291</v>
      </c>
      <c r="J531" s="4">
        <v>0.97</v>
      </c>
      <c r="K531" s="4">
        <v>6.29</v>
      </c>
      <c r="L531" s="4">
        <v>1.2</v>
      </c>
      <c r="M531" s="4">
        <v>6</v>
      </c>
      <c r="N531" s="4">
        <v>681</v>
      </c>
      <c r="O531" s="4" t="str">
        <f t="shared" si="16"/>
        <v>EMI</v>
      </c>
      <c r="P531" s="5">
        <f t="shared" si="17"/>
        <v>113856.072</v>
      </c>
    </row>
    <row r="532" spans="1:16" x14ac:dyDescent="0.25">
      <c r="A532" s="4">
        <v>2024</v>
      </c>
      <c r="B532" s="4">
        <v>5</v>
      </c>
      <c r="C532" s="12" t="s">
        <v>34</v>
      </c>
      <c r="D532" s="4" t="s">
        <v>22</v>
      </c>
      <c r="E532" s="4" t="s">
        <v>14</v>
      </c>
      <c r="F532" s="4" t="s">
        <v>15</v>
      </c>
      <c r="G532" s="5">
        <v>79130</v>
      </c>
      <c r="H532" s="5">
        <v>357124</v>
      </c>
      <c r="I532" s="4">
        <v>142</v>
      </c>
      <c r="J532" s="4">
        <v>0.97</v>
      </c>
      <c r="K532" s="4">
        <v>6.29</v>
      </c>
      <c r="L532" s="4">
        <v>1.2</v>
      </c>
      <c r="M532" s="4">
        <v>6</v>
      </c>
      <c r="N532" s="4">
        <v>348</v>
      </c>
      <c r="O532" s="4" t="str">
        <f t="shared" si="16"/>
        <v>EMI</v>
      </c>
      <c r="P532" s="5">
        <f t="shared" si="17"/>
        <v>80079.56</v>
      </c>
    </row>
    <row r="533" spans="1:16" x14ac:dyDescent="0.25">
      <c r="A533" s="4">
        <v>2019</v>
      </c>
      <c r="B533" s="4">
        <v>1</v>
      </c>
      <c r="C533" s="12" t="s">
        <v>30</v>
      </c>
      <c r="D533" s="4" t="s">
        <v>22</v>
      </c>
      <c r="E533" s="4" t="s">
        <v>18</v>
      </c>
      <c r="F533" s="4" t="s">
        <v>15</v>
      </c>
      <c r="G533" s="5">
        <v>64265</v>
      </c>
      <c r="H533" s="5">
        <v>356259</v>
      </c>
      <c r="I533" s="4">
        <v>31</v>
      </c>
      <c r="J533" s="4">
        <v>0.97</v>
      </c>
      <c r="K533" s="4">
        <v>6.29</v>
      </c>
      <c r="L533" s="4">
        <v>1.2</v>
      </c>
      <c r="M533" s="4">
        <v>6</v>
      </c>
      <c r="N533" s="4">
        <v>231</v>
      </c>
      <c r="O533" s="4" t="str">
        <f t="shared" si="16"/>
        <v>EMI</v>
      </c>
      <c r="P533" s="5">
        <f t="shared" si="17"/>
        <v>65036.18</v>
      </c>
    </row>
    <row r="534" spans="1:16" x14ac:dyDescent="0.25">
      <c r="A534" s="4">
        <v>2017</v>
      </c>
      <c r="B534" s="4">
        <v>2</v>
      </c>
      <c r="C534" s="12" t="s">
        <v>26</v>
      </c>
      <c r="D534" s="4" t="s">
        <v>24</v>
      </c>
      <c r="E534" s="4" t="s">
        <v>14</v>
      </c>
      <c r="F534" s="4" t="s">
        <v>25</v>
      </c>
      <c r="G534" s="5">
        <v>67330</v>
      </c>
      <c r="H534" s="5">
        <v>242718</v>
      </c>
      <c r="I534" s="4">
        <v>278</v>
      </c>
      <c r="J534" s="4">
        <v>0.97</v>
      </c>
      <c r="K534" s="4">
        <v>6.29</v>
      </c>
      <c r="L534" s="4">
        <v>1.2</v>
      </c>
      <c r="M534" s="4">
        <v>3</v>
      </c>
      <c r="N534" s="4">
        <v>896</v>
      </c>
      <c r="O534" s="4" t="str">
        <f t="shared" si="16"/>
        <v>EMI</v>
      </c>
      <c r="P534" s="5">
        <f t="shared" si="17"/>
        <v>68137.960000000006</v>
      </c>
    </row>
    <row r="535" spans="1:16" x14ac:dyDescent="0.25">
      <c r="A535" s="4">
        <v>2021</v>
      </c>
      <c r="B535" s="4">
        <v>8</v>
      </c>
      <c r="C535" s="12" t="s">
        <v>34</v>
      </c>
      <c r="D535" s="4" t="s">
        <v>24</v>
      </c>
      <c r="E535" s="4" t="s">
        <v>17</v>
      </c>
      <c r="F535" s="4" t="s">
        <v>15</v>
      </c>
      <c r="G535" s="5">
        <v>103469</v>
      </c>
      <c r="H535" s="5">
        <v>355302</v>
      </c>
      <c r="I535" s="4">
        <v>170</v>
      </c>
      <c r="J535" s="4">
        <v>0.97</v>
      </c>
      <c r="K535" s="4">
        <v>6.29</v>
      </c>
      <c r="L535" s="4">
        <v>1.2</v>
      </c>
      <c r="M535" s="4">
        <v>10</v>
      </c>
      <c r="N535" s="4">
        <v>735</v>
      </c>
      <c r="O535" s="4" t="str">
        <f t="shared" si="16"/>
        <v>EMI</v>
      </c>
      <c r="P535" s="5">
        <f t="shared" si="17"/>
        <v>104710.628</v>
      </c>
    </row>
    <row r="536" spans="1:16" x14ac:dyDescent="0.25">
      <c r="A536" s="4">
        <v>2016</v>
      </c>
      <c r="B536" s="4">
        <v>3</v>
      </c>
      <c r="C536" s="12" t="s">
        <v>28</v>
      </c>
      <c r="D536" s="4" t="s">
        <v>16</v>
      </c>
      <c r="E536" s="4" t="s">
        <v>17</v>
      </c>
      <c r="F536" s="4" t="s">
        <v>21</v>
      </c>
      <c r="G536" s="5">
        <v>50187</v>
      </c>
      <c r="H536" s="5">
        <v>237035</v>
      </c>
      <c r="I536" s="4">
        <v>116</v>
      </c>
      <c r="J536" s="4">
        <v>0.97</v>
      </c>
      <c r="K536" s="4">
        <v>6.29</v>
      </c>
      <c r="L536" s="4">
        <v>1.2</v>
      </c>
      <c r="M536" s="4">
        <v>1</v>
      </c>
      <c r="N536" s="4">
        <v>708</v>
      </c>
      <c r="O536" s="4" t="str">
        <f t="shared" si="16"/>
        <v>Full</v>
      </c>
      <c r="P536" s="5">
        <f t="shared" si="17"/>
        <v>50187</v>
      </c>
    </row>
    <row r="537" spans="1:16" x14ac:dyDescent="0.25">
      <c r="A537" s="4">
        <v>2023</v>
      </c>
      <c r="B537" s="4">
        <v>10</v>
      </c>
      <c r="C537" s="12" t="s">
        <v>36</v>
      </c>
      <c r="D537" s="4" t="s">
        <v>24</v>
      </c>
      <c r="E537" s="4" t="s">
        <v>14</v>
      </c>
      <c r="F537" s="4" t="s">
        <v>21</v>
      </c>
      <c r="G537" s="5">
        <v>60791</v>
      </c>
      <c r="H537" s="5">
        <v>490847</v>
      </c>
      <c r="I537" s="4">
        <v>288</v>
      </c>
      <c r="J537" s="4">
        <v>0.97</v>
      </c>
      <c r="K537" s="4">
        <v>6.29</v>
      </c>
      <c r="L537" s="4">
        <v>1.2</v>
      </c>
      <c r="M537" s="4">
        <v>4</v>
      </c>
      <c r="N537" s="4">
        <v>625</v>
      </c>
      <c r="O537" s="4" t="str">
        <f t="shared" si="16"/>
        <v>EMI</v>
      </c>
      <c r="P537" s="5">
        <f t="shared" si="17"/>
        <v>61520.491999999998</v>
      </c>
    </row>
    <row r="538" spans="1:16" x14ac:dyDescent="0.25">
      <c r="A538" s="4">
        <v>2024</v>
      </c>
      <c r="B538" s="4">
        <v>3</v>
      </c>
      <c r="C538" s="12" t="s">
        <v>12</v>
      </c>
      <c r="D538" s="4" t="s">
        <v>29</v>
      </c>
      <c r="E538" s="4" t="s">
        <v>17</v>
      </c>
      <c r="F538" s="4" t="s">
        <v>15</v>
      </c>
      <c r="G538" s="5">
        <v>105610</v>
      </c>
      <c r="H538" s="5">
        <v>230388</v>
      </c>
      <c r="I538" s="4">
        <v>362</v>
      </c>
      <c r="J538" s="4">
        <v>0.97</v>
      </c>
      <c r="K538" s="4">
        <v>6.29</v>
      </c>
      <c r="L538" s="4">
        <v>1.2</v>
      </c>
      <c r="M538" s="4">
        <v>10</v>
      </c>
      <c r="N538" s="4">
        <v>1022</v>
      </c>
      <c r="O538" s="4" t="str">
        <f t="shared" si="16"/>
        <v>EMI</v>
      </c>
      <c r="P538" s="5">
        <f t="shared" si="17"/>
        <v>106877.32</v>
      </c>
    </row>
    <row r="539" spans="1:16" x14ac:dyDescent="0.25">
      <c r="A539" s="4">
        <v>2024</v>
      </c>
      <c r="B539" s="4">
        <v>8</v>
      </c>
      <c r="C539" s="12" t="s">
        <v>35</v>
      </c>
      <c r="D539" s="4" t="s">
        <v>13</v>
      </c>
      <c r="E539" s="4" t="s">
        <v>17</v>
      </c>
      <c r="F539" s="4" t="s">
        <v>18</v>
      </c>
      <c r="G539" s="5">
        <v>74867</v>
      </c>
      <c r="H539" s="5">
        <v>417508</v>
      </c>
      <c r="I539" s="4">
        <v>244</v>
      </c>
      <c r="J539" s="4">
        <v>0.97</v>
      </c>
      <c r="K539" s="4">
        <v>6.29</v>
      </c>
      <c r="L539" s="4">
        <v>1.2</v>
      </c>
      <c r="M539" s="4">
        <v>6</v>
      </c>
      <c r="N539" s="4">
        <v>951</v>
      </c>
      <c r="O539" s="4" t="str">
        <f t="shared" si="16"/>
        <v>EMI</v>
      </c>
      <c r="P539" s="5">
        <f t="shared" si="17"/>
        <v>75765.403999999995</v>
      </c>
    </row>
    <row r="540" spans="1:16" x14ac:dyDescent="0.25">
      <c r="A540" s="4">
        <v>2015</v>
      </c>
      <c r="B540" s="4">
        <v>8</v>
      </c>
      <c r="C540" s="12" t="s">
        <v>30</v>
      </c>
      <c r="D540" s="4" t="s">
        <v>27</v>
      </c>
      <c r="E540" s="4" t="s">
        <v>14</v>
      </c>
      <c r="F540" s="4" t="s">
        <v>25</v>
      </c>
      <c r="G540" s="5">
        <v>35893</v>
      </c>
      <c r="H540" s="5">
        <v>327648</v>
      </c>
      <c r="I540" s="4">
        <v>27</v>
      </c>
      <c r="J540" s="4">
        <v>0.97</v>
      </c>
      <c r="K540" s="4">
        <v>6.29</v>
      </c>
      <c r="L540" s="4">
        <v>1.2</v>
      </c>
      <c r="M540" s="4">
        <v>10</v>
      </c>
      <c r="N540" s="4">
        <v>212</v>
      </c>
      <c r="O540" s="4" t="str">
        <f t="shared" si="16"/>
        <v>EMI</v>
      </c>
      <c r="P540" s="5">
        <f t="shared" si="17"/>
        <v>36323.716</v>
      </c>
    </row>
    <row r="541" spans="1:16" x14ac:dyDescent="0.25">
      <c r="A541" s="4">
        <v>2020</v>
      </c>
      <c r="B541" s="4">
        <v>2</v>
      </c>
      <c r="C541" s="12" t="s">
        <v>19</v>
      </c>
      <c r="D541" s="4" t="s">
        <v>20</v>
      </c>
      <c r="E541" s="4" t="s">
        <v>14</v>
      </c>
      <c r="F541" s="4" t="s">
        <v>18</v>
      </c>
      <c r="G541" s="5">
        <v>54773</v>
      </c>
      <c r="H541" s="5">
        <v>249665</v>
      </c>
      <c r="I541" s="4">
        <v>251</v>
      </c>
      <c r="J541" s="4">
        <v>0.97</v>
      </c>
      <c r="K541" s="4">
        <v>6.29</v>
      </c>
      <c r="L541" s="4">
        <v>1.2</v>
      </c>
      <c r="M541" s="4">
        <v>2</v>
      </c>
      <c r="N541" s="4">
        <v>982</v>
      </c>
      <c r="O541" s="4" t="str">
        <f t="shared" si="16"/>
        <v>Full</v>
      </c>
      <c r="P541" s="5">
        <f t="shared" si="17"/>
        <v>54773</v>
      </c>
    </row>
    <row r="542" spans="1:16" x14ac:dyDescent="0.25">
      <c r="A542" s="4">
        <v>2021</v>
      </c>
      <c r="B542" s="4">
        <v>8</v>
      </c>
      <c r="C542" s="12" t="s">
        <v>12</v>
      </c>
      <c r="D542" s="4" t="s">
        <v>22</v>
      </c>
      <c r="E542" s="4" t="s">
        <v>17</v>
      </c>
      <c r="F542" s="4" t="s">
        <v>25</v>
      </c>
      <c r="G542" s="5">
        <v>39239</v>
      </c>
      <c r="H542" s="5">
        <v>469876</v>
      </c>
      <c r="I542" s="4">
        <v>126</v>
      </c>
      <c r="J542" s="4">
        <v>0.97</v>
      </c>
      <c r="K542" s="4">
        <v>6.29</v>
      </c>
      <c r="L542" s="4">
        <v>1.2</v>
      </c>
      <c r="M542" s="4">
        <v>7</v>
      </c>
      <c r="N542" s="4">
        <v>659</v>
      </c>
      <c r="O542" s="4" t="str">
        <f t="shared" si="16"/>
        <v>EMI</v>
      </c>
      <c r="P542" s="5">
        <f t="shared" si="17"/>
        <v>39709.868000000002</v>
      </c>
    </row>
    <row r="543" spans="1:16" x14ac:dyDescent="0.25">
      <c r="A543" s="4">
        <v>2022</v>
      </c>
      <c r="B543" s="4">
        <v>11</v>
      </c>
      <c r="C543" s="12" t="s">
        <v>28</v>
      </c>
      <c r="D543" s="4" t="s">
        <v>16</v>
      </c>
      <c r="E543" s="4" t="s">
        <v>18</v>
      </c>
      <c r="F543" s="4" t="s">
        <v>18</v>
      </c>
      <c r="G543" s="5">
        <v>55863</v>
      </c>
      <c r="H543" s="5">
        <v>349340</v>
      </c>
      <c r="I543" s="4">
        <v>295</v>
      </c>
      <c r="J543" s="4">
        <v>0.97</v>
      </c>
      <c r="K543" s="4">
        <v>6.29</v>
      </c>
      <c r="L543" s="4">
        <v>1.2</v>
      </c>
      <c r="M543" s="4">
        <v>7</v>
      </c>
      <c r="N543" s="4">
        <v>1031</v>
      </c>
      <c r="O543" s="4" t="str">
        <f t="shared" si="16"/>
        <v>EMI</v>
      </c>
      <c r="P543" s="5">
        <f t="shared" si="17"/>
        <v>56533.356</v>
      </c>
    </row>
    <row r="544" spans="1:16" x14ac:dyDescent="0.25">
      <c r="A544" s="4">
        <v>2024</v>
      </c>
      <c r="B544" s="4">
        <v>1</v>
      </c>
      <c r="C544" s="12" t="s">
        <v>35</v>
      </c>
      <c r="D544" s="4" t="s">
        <v>16</v>
      </c>
      <c r="E544" s="4" t="s">
        <v>18</v>
      </c>
      <c r="F544" s="4" t="s">
        <v>15</v>
      </c>
      <c r="G544" s="5">
        <v>86415</v>
      </c>
      <c r="H544" s="5">
        <v>378082</v>
      </c>
      <c r="I544" s="4">
        <v>291</v>
      </c>
      <c r="J544" s="4">
        <v>0.97</v>
      </c>
      <c r="K544" s="4">
        <v>6.29</v>
      </c>
      <c r="L544" s="4">
        <v>1.2</v>
      </c>
      <c r="M544" s="4">
        <v>4</v>
      </c>
      <c r="N544" s="4">
        <v>666</v>
      </c>
      <c r="O544" s="4" t="str">
        <f t="shared" si="16"/>
        <v>EMI</v>
      </c>
      <c r="P544" s="5">
        <f t="shared" si="17"/>
        <v>87451.98</v>
      </c>
    </row>
    <row r="545" spans="1:16" x14ac:dyDescent="0.25">
      <c r="A545" s="4">
        <v>2023</v>
      </c>
      <c r="B545" s="4">
        <v>6</v>
      </c>
      <c r="C545" s="12" t="s">
        <v>28</v>
      </c>
      <c r="D545" s="4" t="s">
        <v>27</v>
      </c>
      <c r="E545" s="4" t="s">
        <v>14</v>
      </c>
      <c r="F545" s="4" t="s">
        <v>25</v>
      </c>
      <c r="G545" s="5">
        <v>103968</v>
      </c>
      <c r="H545" s="5">
        <v>451821</v>
      </c>
      <c r="I545" s="4">
        <v>153</v>
      </c>
      <c r="J545" s="4">
        <v>0.97</v>
      </c>
      <c r="K545" s="4">
        <v>6.29</v>
      </c>
      <c r="L545" s="4">
        <v>1.2</v>
      </c>
      <c r="M545" s="4">
        <v>4</v>
      </c>
      <c r="N545" s="4">
        <v>601</v>
      </c>
      <c r="O545" s="4" t="str">
        <f t="shared" si="16"/>
        <v>EMI</v>
      </c>
      <c r="P545" s="5">
        <f t="shared" si="17"/>
        <v>105215.61599999999</v>
      </c>
    </row>
    <row r="546" spans="1:16" x14ac:dyDescent="0.25">
      <c r="A546" s="4">
        <v>2016</v>
      </c>
      <c r="B546" s="4">
        <v>8</v>
      </c>
      <c r="C546" s="12" t="s">
        <v>36</v>
      </c>
      <c r="D546" s="4" t="s">
        <v>13</v>
      </c>
      <c r="E546" s="4" t="s">
        <v>14</v>
      </c>
      <c r="F546" s="4" t="s">
        <v>25</v>
      </c>
      <c r="G546" s="5">
        <v>95430</v>
      </c>
      <c r="H546" s="5">
        <v>369532</v>
      </c>
      <c r="I546" s="4">
        <v>214</v>
      </c>
      <c r="J546" s="4">
        <v>0.97</v>
      </c>
      <c r="K546" s="4">
        <v>6.29</v>
      </c>
      <c r="L546" s="4">
        <v>1.2</v>
      </c>
      <c r="M546" s="4">
        <v>1</v>
      </c>
      <c r="N546" s="4">
        <v>510</v>
      </c>
      <c r="O546" s="4" t="str">
        <f t="shared" si="16"/>
        <v>Discount</v>
      </c>
      <c r="P546" s="5">
        <f t="shared" si="17"/>
        <v>85887</v>
      </c>
    </row>
    <row r="547" spans="1:16" x14ac:dyDescent="0.25">
      <c r="A547" s="4">
        <v>2024</v>
      </c>
      <c r="B547" s="4">
        <v>3</v>
      </c>
      <c r="C547" s="12" t="s">
        <v>36</v>
      </c>
      <c r="D547" s="4" t="s">
        <v>20</v>
      </c>
      <c r="E547" s="4" t="s">
        <v>18</v>
      </c>
      <c r="F547" s="4" t="s">
        <v>25</v>
      </c>
      <c r="G547" s="5">
        <v>36515</v>
      </c>
      <c r="H547" s="5">
        <v>262369</v>
      </c>
      <c r="I547" s="4">
        <v>48</v>
      </c>
      <c r="J547" s="4">
        <v>0.97</v>
      </c>
      <c r="K547" s="4">
        <v>6.29</v>
      </c>
      <c r="L547" s="4">
        <v>1.2</v>
      </c>
      <c r="M547" s="4">
        <v>2</v>
      </c>
      <c r="N547" s="4">
        <v>474</v>
      </c>
      <c r="O547" s="4" t="str">
        <f t="shared" si="16"/>
        <v>Full</v>
      </c>
      <c r="P547" s="5">
        <f t="shared" si="17"/>
        <v>36515</v>
      </c>
    </row>
    <row r="548" spans="1:16" x14ac:dyDescent="0.25">
      <c r="A548" s="4">
        <v>2016</v>
      </c>
      <c r="B548" s="4">
        <v>8</v>
      </c>
      <c r="C548" s="12" t="s">
        <v>23</v>
      </c>
      <c r="D548" s="4" t="s">
        <v>31</v>
      </c>
      <c r="E548" s="4" t="s">
        <v>17</v>
      </c>
      <c r="F548" s="4" t="s">
        <v>21</v>
      </c>
      <c r="G548" s="5">
        <v>49605</v>
      </c>
      <c r="H548" s="5">
        <v>105501</v>
      </c>
      <c r="I548" s="4">
        <v>163</v>
      </c>
      <c r="J548" s="4">
        <v>0.97</v>
      </c>
      <c r="K548" s="4">
        <v>6.29</v>
      </c>
      <c r="L548" s="4">
        <v>1.2</v>
      </c>
      <c r="M548" s="4">
        <v>9</v>
      </c>
      <c r="N548" s="4">
        <v>759</v>
      </c>
      <c r="O548" s="4" t="str">
        <f t="shared" si="16"/>
        <v>EMI</v>
      </c>
      <c r="P548" s="5">
        <f t="shared" si="17"/>
        <v>50200.26</v>
      </c>
    </row>
    <row r="549" spans="1:16" x14ac:dyDescent="0.25">
      <c r="A549" s="4">
        <v>2019</v>
      </c>
      <c r="B549" s="4">
        <v>12</v>
      </c>
      <c r="C549" s="12" t="s">
        <v>30</v>
      </c>
      <c r="D549" s="4" t="s">
        <v>24</v>
      </c>
      <c r="E549" s="4" t="s">
        <v>18</v>
      </c>
      <c r="F549" s="4" t="s">
        <v>21</v>
      </c>
      <c r="G549" s="5">
        <v>91240</v>
      </c>
      <c r="H549" s="5">
        <v>234381</v>
      </c>
      <c r="I549" s="4">
        <v>185</v>
      </c>
      <c r="J549" s="4">
        <v>0.97</v>
      </c>
      <c r="K549" s="4">
        <v>6.29</v>
      </c>
      <c r="L549" s="4">
        <v>1.2</v>
      </c>
      <c r="M549" s="4">
        <v>10</v>
      </c>
      <c r="N549" s="4">
        <v>750</v>
      </c>
      <c r="O549" s="4" t="str">
        <f t="shared" si="16"/>
        <v>EMI</v>
      </c>
      <c r="P549" s="5">
        <f t="shared" si="17"/>
        <v>92334.88</v>
      </c>
    </row>
    <row r="550" spans="1:16" x14ac:dyDescent="0.25">
      <c r="A550" s="4">
        <v>2019</v>
      </c>
      <c r="B550" s="4">
        <v>1</v>
      </c>
      <c r="C550" s="12" t="s">
        <v>12</v>
      </c>
      <c r="D550" s="4" t="s">
        <v>32</v>
      </c>
      <c r="E550" s="4" t="s">
        <v>18</v>
      </c>
      <c r="F550" s="4" t="s">
        <v>18</v>
      </c>
      <c r="G550" s="5">
        <v>40586</v>
      </c>
      <c r="H550" s="5">
        <v>77043</v>
      </c>
      <c r="I550" s="4">
        <v>250</v>
      </c>
      <c r="J550" s="4">
        <v>0.97</v>
      </c>
      <c r="K550" s="4">
        <v>6.29</v>
      </c>
      <c r="L550" s="4">
        <v>1.2</v>
      </c>
      <c r="M550" s="4">
        <v>8</v>
      </c>
      <c r="N550" s="4">
        <v>930</v>
      </c>
      <c r="O550" s="4" t="str">
        <f t="shared" si="16"/>
        <v>EMI</v>
      </c>
      <c r="P550" s="5">
        <f t="shared" si="17"/>
        <v>41073.031999999999</v>
      </c>
    </row>
    <row r="551" spans="1:16" x14ac:dyDescent="0.25">
      <c r="A551" s="4">
        <v>2020</v>
      </c>
      <c r="B551" s="4">
        <v>11</v>
      </c>
      <c r="C551" s="12" t="s">
        <v>33</v>
      </c>
      <c r="D551" s="4" t="s">
        <v>16</v>
      </c>
      <c r="E551" s="4" t="s">
        <v>18</v>
      </c>
      <c r="F551" s="4" t="s">
        <v>15</v>
      </c>
      <c r="G551" s="5">
        <v>66186</v>
      </c>
      <c r="H551" s="5">
        <v>83635</v>
      </c>
      <c r="I551" s="4">
        <v>395</v>
      </c>
      <c r="J551" s="4">
        <v>0.97</v>
      </c>
      <c r="K551" s="4">
        <v>6.29</v>
      </c>
      <c r="L551" s="4">
        <v>1.2</v>
      </c>
      <c r="M551" s="4">
        <v>8</v>
      </c>
      <c r="N551" s="4">
        <v>905</v>
      </c>
      <c r="O551" s="4" t="str">
        <f t="shared" si="16"/>
        <v>EMI</v>
      </c>
      <c r="P551" s="5">
        <f t="shared" si="17"/>
        <v>66980.232000000004</v>
      </c>
    </row>
    <row r="552" spans="1:16" x14ac:dyDescent="0.25">
      <c r="A552" s="4">
        <v>2017</v>
      </c>
      <c r="B552" s="4">
        <v>11</v>
      </c>
      <c r="C552" s="12" t="s">
        <v>33</v>
      </c>
      <c r="D552" s="4" t="s">
        <v>24</v>
      </c>
      <c r="E552" s="4" t="s">
        <v>18</v>
      </c>
      <c r="F552" s="4" t="s">
        <v>21</v>
      </c>
      <c r="G552" s="5">
        <v>61928</v>
      </c>
      <c r="H552" s="5">
        <v>260387</v>
      </c>
      <c r="I552" s="4">
        <v>378</v>
      </c>
      <c r="J552" s="4">
        <v>0.97</v>
      </c>
      <c r="K552" s="4">
        <v>6.29</v>
      </c>
      <c r="L552" s="4">
        <v>1.2</v>
      </c>
      <c r="M552" s="4">
        <v>9</v>
      </c>
      <c r="N552" s="4">
        <v>798</v>
      </c>
      <c r="O552" s="4" t="str">
        <f t="shared" si="16"/>
        <v>EMI</v>
      </c>
      <c r="P552" s="5">
        <f t="shared" si="17"/>
        <v>62671.135999999999</v>
      </c>
    </row>
    <row r="553" spans="1:16" x14ac:dyDescent="0.25">
      <c r="A553" s="4">
        <v>2022</v>
      </c>
      <c r="B553" s="4">
        <v>9</v>
      </c>
      <c r="C553" s="12" t="s">
        <v>12</v>
      </c>
      <c r="D553" s="4" t="s">
        <v>24</v>
      </c>
      <c r="E553" s="4" t="s">
        <v>14</v>
      </c>
      <c r="F553" s="4" t="s">
        <v>25</v>
      </c>
      <c r="G553" s="5">
        <v>118087</v>
      </c>
      <c r="H553" s="5">
        <v>130691</v>
      </c>
      <c r="I553" s="4">
        <v>143</v>
      </c>
      <c r="J553" s="4">
        <v>0.97</v>
      </c>
      <c r="K553" s="4">
        <v>6.29</v>
      </c>
      <c r="L553" s="4">
        <v>1.2</v>
      </c>
      <c r="M553" s="4">
        <v>7</v>
      </c>
      <c r="N553" s="4">
        <v>311</v>
      </c>
      <c r="O553" s="4" t="str">
        <f t="shared" si="16"/>
        <v>EMI</v>
      </c>
      <c r="P553" s="5">
        <f t="shared" si="17"/>
        <v>119504.04399999999</v>
      </c>
    </row>
    <row r="554" spans="1:16" x14ac:dyDescent="0.25">
      <c r="A554" s="4">
        <v>2015</v>
      </c>
      <c r="B554" s="4">
        <v>11</v>
      </c>
      <c r="C554" s="12" t="s">
        <v>19</v>
      </c>
      <c r="D554" s="4" t="s">
        <v>29</v>
      </c>
      <c r="E554" s="4" t="s">
        <v>14</v>
      </c>
      <c r="F554" s="4" t="s">
        <v>21</v>
      </c>
      <c r="G554" s="5">
        <v>55711</v>
      </c>
      <c r="H554" s="5">
        <v>345276</v>
      </c>
      <c r="I554" s="4">
        <v>55</v>
      </c>
      <c r="J554" s="4">
        <v>0.97</v>
      </c>
      <c r="K554" s="4">
        <v>6.29</v>
      </c>
      <c r="L554" s="4">
        <v>1.2</v>
      </c>
      <c r="M554" s="4">
        <v>9</v>
      </c>
      <c r="N554" s="4">
        <v>170</v>
      </c>
      <c r="O554" s="4" t="str">
        <f t="shared" si="16"/>
        <v>EMI</v>
      </c>
      <c r="P554" s="5">
        <f t="shared" si="17"/>
        <v>56379.531999999999</v>
      </c>
    </row>
    <row r="555" spans="1:16" x14ac:dyDescent="0.25">
      <c r="A555" s="4">
        <v>2020</v>
      </c>
      <c r="B555" s="4">
        <v>9</v>
      </c>
      <c r="C555" s="12" t="s">
        <v>30</v>
      </c>
      <c r="D555" s="4" t="s">
        <v>13</v>
      </c>
      <c r="E555" s="4" t="s">
        <v>17</v>
      </c>
      <c r="F555" s="4" t="s">
        <v>15</v>
      </c>
      <c r="G555" s="5">
        <v>89962</v>
      </c>
      <c r="H555" s="5">
        <v>327510</v>
      </c>
      <c r="I555" s="4">
        <v>59</v>
      </c>
      <c r="J555" s="4">
        <v>0.97</v>
      </c>
      <c r="K555" s="4">
        <v>6.29</v>
      </c>
      <c r="L555" s="4">
        <v>1.2</v>
      </c>
      <c r="M555" s="4">
        <v>10</v>
      </c>
      <c r="N555" s="4">
        <v>282</v>
      </c>
      <c r="O555" s="4" t="str">
        <f t="shared" si="16"/>
        <v>EMI</v>
      </c>
      <c r="P555" s="5">
        <f t="shared" si="17"/>
        <v>91041.543999999994</v>
      </c>
    </row>
    <row r="556" spans="1:16" x14ac:dyDescent="0.25">
      <c r="A556" s="4">
        <v>2018</v>
      </c>
      <c r="B556" s="4">
        <v>5</v>
      </c>
      <c r="C556" s="12" t="s">
        <v>28</v>
      </c>
      <c r="D556" s="4" t="s">
        <v>32</v>
      </c>
      <c r="E556" s="4" t="s">
        <v>17</v>
      </c>
      <c r="F556" s="4" t="s">
        <v>21</v>
      </c>
      <c r="G556" s="5">
        <v>55039</v>
      </c>
      <c r="H556" s="5">
        <v>143944</v>
      </c>
      <c r="I556" s="4">
        <v>175</v>
      </c>
      <c r="J556" s="4">
        <v>0.97</v>
      </c>
      <c r="K556" s="4">
        <v>6.29</v>
      </c>
      <c r="L556" s="4">
        <v>1.2</v>
      </c>
      <c r="M556" s="4">
        <v>2</v>
      </c>
      <c r="N556" s="4">
        <v>668</v>
      </c>
      <c r="O556" s="4" t="str">
        <f t="shared" si="16"/>
        <v>Full</v>
      </c>
      <c r="P556" s="5">
        <f t="shared" si="17"/>
        <v>55039</v>
      </c>
    </row>
    <row r="557" spans="1:16" x14ac:dyDescent="0.25">
      <c r="A557" s="4">
        <v>2015</v>
      </c>
      <c r="B557" s="4">
        <v>10</v>
      </c>
      <c r="C557" s="12" t="s">
        <v>19</v>
      </c>
      <c r="D557" s="4" t="s">
        <v>31</v>
      </c>
      <c r="E557" s="4" t="s">
        <v>17</v>
      </c>
      <c r="F557" s="4" t="s">
        <v>25</v>
      </c>
      <c r="G557" s="5">
        <v>71561</v>
      </c>
      <c r="H557" s="5">
        <v>253179</v>
      </c>
      <c r="I557" s="4">
        <v>115</v>
      </c>
      <c r="J557" s="4">
        <v>0.97</v>
      </c>
      <c r="K557" s="4">
        <v>6.29</v>
      </c>
      <c r="L557" s="4">
        <v>1.2</v>
      </c>
      <c r="M557" s="4">
        <v>6</v>
      </c>
      <c r="N557" s="4">
        <v>284</v>
      </c>
      <c r="O557" s="4" t="str">
        <f t="shared" si="16"/>
        <v>EMI</v>
      </c>
      <c r="P557" s="5">
        <f t="shared" si="17"/>
        <v>72419.732000000004</v>
      </c>
    </row>
    <row r="558" spans="1:16" x14ac:dyDescent="0.25">
      <c r="A558" s="4">
        <v>2021</v>
      </c>
      <c r="B558" s="4">
        <v>4</v>
      </c>
      <c r="C558" s="12" t="s">
        <v>26</v>
      </c>
      <c r="D558" s="4" t="s">
        <v>22</v>
      </c>
      <c r="E558" s="4" t="s">
        <v>17</v>
      </c>
      <c r="F558" s="4" t="s">
        <v>18</v>
      </c>
      <c r="G558" s="5">
        <v>110483</v>
      </c>
      <c r="H558" s="5">
        <v>427411</v>
      </c>
      <c r="I558" s="4">
        <v>225</v>
      </c>
      <c r="J558" s="4">
        <v>0.97</v>
      </c>
      <c r="K558" s="4">
        <v>6.29</v>
      </c>
      <c r="L558" s="4">
        <v>1.2</v>
      </c>
      <c r="M558" s="4">
        <v>3</v>
      </c>
      <c r="N558" s="4">
        <v>641</v>
      </c>
      <c r="O558" s="4" t="str">
        <f t="shared" si="16"/>
        <v>EMI</v>
      </c>
      <c r="P558" s="5">
        <f t="shared" si="17"/>
        <v>111808.796</v>
      </c>
    </row>
    <row r="559" spans="1:16" x14ac:dyDescent="0.25">
      <c r="A559" s="4">
        <v>2023</v>
      </c>
      <c r="B559" s="4">
        <v>11</v>
      </c>
      <c r="C559" s="12" t="s">
        <v>12</v>
      </c>
      <c r="D559" s="4" t="s">
        <v>29</v>
      </c>
      <c r="E559" s="4" t="s">
        <v>18</v>
      </c>
      <c r="F559" s="4" t="s">
        <v>25</v>
      </c>
      <c r="G559" s="5">
        <v>116395</v>
      </c>
      <c r="H559" s="5">
        <v>89236</v>
      </c>
      <c r="I559" s="4">
        <v>155</v>
      </c>
      <c r="J559" s="4">
        <v>0.97</v>
      </c>
      <c r="K559" s="4">
        <v>6.29</v>
      </c>
      <c r="L559" s="4">
        <v>1.2</v>
      </c>
      <c r="M559" s="4">
        <v>6</v>
      </c>
      <c r="N559" s="4">
        <v>550</v>
      </c>
      <c r="O559" s="4" t="str">
        <f t="shared" si="16"/>
        <v>EMI</v>
      </c>
      <c r="P559" s="5">
        <f t="shared" si="17"/>
        <v>117791.74</v>
      </c>
    </row>
    <row r="560" spans="1:16" x14ac:dyDescent="0.25">
      <c r="A560" s="4">
        <v>2018</v>
      </c>
      <c r="B560" s="4">
        <v>6</v>
      </c>
      <c r="C560" s="12" t="s">
        <v>28</v>
      </c>
      <c r="D560" s="4" t="s">
        <v>24</v>
      </c>
      <c r="E560" s="4" t="s">
        <v>14</v>
      </c>
      <c r="F560" s="4" t="s">
        <v>15</v>
      </c>
      <c r="G560" s="5">
        <v>36577</v>
      </c>
      <c r="H560" s="5">
        <v>316294</v>
      </c>
      <c r="I560" s="4">
        <v>81</v>
      </c>
      <c r="J560" s="4">
        <v>0.97</v>
      </c>
      <c r="K560" s="4">
        <v>6.29</v>
      </c>
      <c r="L560" s="4">
        <v>1.2</v>
      </c>
      <c r="M560" s="4">
        <v>3</v>
      </c>
      <c r="N560" s="4">
        <v>626</v>
      </c>
      <c r="O560" s="4" t="str">
        <f t="shared" si="16"/>
        <v>EMI</v>
      </c>
      <c r="P560" s="5">
        <f t="shared" si="17"/>
        <v>37015.923999999999</v>
      </c>
    </row>
    <row r="561" spans="1:16" x14ac:dyDescent="0.25">
      <c r="A561" s="4">
        <v>2018</v>
      </c>
      <c r="B561" s="4">
        <v>12</v>
      </c>
      <c r="C561" s="12" t="s">
        <v>33</v>
      </c>
      <c r="D561" s="4" t="s">
        <v>24</v>
      </c>
      <c r="E561" s="4" t="s">
        <v>14</v>
      </c>
      <c r="F561" s="4" t="s">
        <v>18</v>
      </c>
      <c r="G561" s="5">
        <v>63350</v>
      </c>
      <c r="H561" s="5">
        <v>423513</v>
      </c>
      <c r="I561" s="4">
        <v>339</v>
      </c>
      <c r="J561" s="4">
        <v>0.97</v>
      </c>
      <c r="K561" s="4">
        <v>6.29</v>
      </c>
      <c r="L561" s="4">
        <v>1.2</v>
      </c>
      <c r="M561" s="4">
        <v>8</v>
      </c>
      <c r="N561" s="4">
        <v>1033</v>
      </c>
      <c r="O561" s="4" t="str">
        <f t="shared" si="16"/>
        <v>EMI</v>
      </c>
      <c r="P561" s="5">
        <f t="shared" si="17"/>
        <v>64110.2</v>
      </c>
    </row>
    <row r="562" spans="1:16" x14ac:dyDescent="0.25">
      <c r="A562" s="4">
        <v>2020</v>
      </c>
      <c r="B562" s="4">
        <v>7</v>
      </c>
      <c r="C562" s="12" t="s">
        <v>34</v>
      </c>
      <c r="D562" s="4" t="s">
        <v>37</v>
      </c>
      <c r="E562" s="4" t="s">
        <v>17</v>
      </c>
      <c r="F562" s="4" t="s">
        <v>21</v>
      </c>
      <c r="G562" s="5">
        <v>68798</v>
      </c>
      <c r="H562" s="5">
        <v>331567</v>
      </c>
      <c r="I562" s="4">
        <v>282</v>
      </c>
      <c r="J562" s="4">
        <v>0.97</v>
      </c>
      <c r="K562" s="4">
        <v>6.29</v>
      </c>
      <c r="L562" s="4">
        <v>1.2</v>
      </c>
      <c r="M562" s="4">
        <v>4</v>
      </c>
      <c r="N562" s="4">
        <v>730</v>
      </c>
      <c r="O562" s="4" t="str">
        <f t="shared" si="16"/>
        <v>EMI</v>
      </c>
      <c r="P562" s="5">
        <f t="shared" si="17"/>
        <v>69623.576000000001</v>
      </c>
    </row>
    <row r="563" spans="1:16" x14ac:dyDescent="0.25">
      <c r="A563" s="4">
        <v>2017</v>
      </c>
      <c r="B563" s="4">
        <v>5</v>
      </c>
      <c r="C563" s="12" t="s">
        <v>23</v>
      </c>
      <c r="D563" s="4" t="s">
        <v>32</v>
      </c>
      <c r="E563" s="4" t="s">
        <v>17</v>
      </c>
      <c r="F563" s="4" t="s">
        <v>21</v>
      </c>
      <c r="G563" s="5">
        <v>116417</v>
      </c>
      <c r="H563" s="5">
        <v>54137</v>
      </c>
      <c r="I563" s="4">
        <v>256</v>
      </c>
      <c r="J563" s="4">
        <v>0.97</v>
      </c>
      <c r="K563" s="4">
        <v>6.29</v>
      </c>
      <c r="L563" s="4">
        <v>1.2</v>
      </c>
      <c r="M563" s="4">
        <v>10</v>
      </c>
      <c r="N563" s="4">
        <v>705</v>
      </c>
      <c r="O563" s="4" t="str">
        <f t="shared" si="16"/>
        <v>EMI</v>
      </c>
      <c r="P563" s="5">
        <f t="shared" si="17"/>
        <v>117814.004</v>
      </c>
    </row>
    <row r="564" spans="1:16" x14ac:dyDescent="0.25">
      <c r="A564" s="4">
        <v>2020</v>
      </c>
      <c r="B564" s="4">
        <v>11</v>
      </c>
      <c r="C564" s="12" t="s">
        <v>33</v>
      </c>
      <c r="D564" s="4" t="s">
        <v>32</v>
      </c>
      <c r="E564" s="4" t="s">
        <v>18</v>
      </c>
      <c r="F564" s="4" t="s">
        <v>21</v>
      </c>
      <c r="G564" s="5">
        <v>45785</v>
      </c>
      <c r="H564" s="5">
        <v>79992</v>
      </c>
      <c r="I564" s="4">
        <v>195</v>
      </c>
      <c r="J564" s="4">
        <v>0.97</v>
      </c>
      <c r="K564" s="4">
        <v>6.29</v>
      </c>
      <c r="L564" s="4">
        <v>1.2</v>
      </c>
      <c r="M564" s="4">
        <v>6</v>
      </c>
      <c r="N564" s="4">
        <v>542</v>
      </c>
      <c r="O564" s="4" t="str">
        <f t="shared" si="16"/>
        <v>EMI</v>
      </c>
      <c r="P564" s="5">
        <f t="shared" si="17"/>
        <v>46334.42</v>
      </c>
    </row>
    <row r="565" spans="1:16" x14ac:dyDescent="0.25">
      <c r="A565" s="4">
        <v>2021</v>
      </c>
      <c r="B565" s="4">
        <v>10</v>
      </c>
      <c r="C565" s="12" t="s">
        <v>30</v>
      </c>
      <c r="D565" s="4" t="s">
        <v>37</v>
      </c>
      <c r="E565" s="4" t="s">
        <v>18</v>
      </c>
      <c r="F565" s="4" t="s">
        <v>18</v>
      </c>
      <c r="G565" s="5">
        <v>107227</v>
      </c>
      <c r="H565" s="5">
        <v>422684</v>
      </c>
      <c r="I565" s="4">
        <v>79</v>
      </c>
      <c r="J565" s="4">
        <v>0.97</v>
      </c>
      <c r="K565" s="4">
        <v>6.29</v>
      </c>
      <c r="L565" s="4">
        <v>1.2</v>
      </c>
      <c r="M565" s="4">
        <v>9</v>
      </c>
      <c r="N565" s="4">
        <v>380</v>
      </c>
      <c r="O565" s="4" t="str">
        <f t="shared" si="16"/>
        <v>EMI</v>
      </c>
      <c r="P565" s="5">
        <f t="shared" si="17"/>
        <v>108513.724</v>
      </c>
    </row>
    <row r="566" spans="1:16" x14ac:dyDescent="0.25">
      <c r="A566" s="4">
        <v>2024</v>
      </c>
      <c r="B566" s="4">
        <v>9</v>
      </c>
      <c r="C566" s="12" t="s">
        <v>36</v>
      </c>
      <c r="D566" s="4" t="s">
        <v>32</v>
      </c>
      <c r="E566" s="4" t="s">
        <v>17</v>
      </c>
      <c r="F566" s="4" t="s">
        <v>25</v>
      </c>
      <c r="G566" s="5">
        <v>96957</v>
      </c>
      <c r="H566" s="5">
        <v>165140</v>
      </c>
      <c r="I566" s="4">
        <v>159</v>
      </c>
      <c r="J566" s="4">
        <v>0.97</v>
      </c>
      <c r="K566" s="4">
        <v>6.29</v>
      </c>
      <c r="L566" s="4">
        <v>1.2</v>
      </c>
      <c r="M566" s="4">
        <v>2</v>
      </c>
      <c r="N566" s="4">
        <v>605</v>
      </c>
      <c r="O566" s="4" t="str">
        <f t="shared" si="16"/>
        <v>Full</v>
      </c>
      <c r="P566" s="5">
        <f t="shared" si="17"/>
        <v>96957</v>
      </c>
    </row>
    <row r="567" spans="1:16" x14ac:dyDescent="0.25">
      <c r="A567" s="4">
        <v>2024</v>
      </c>
      <c r="B567" s="4">
        <v>3</v>
      </c>
      <c r="C567" s="12" t="s">
        <v>34</v>
      </c>
      <c r="D567" s="4" t="s">
        <v>24</v>
      </c>
      <c r="E567" s="4" t="s">
        <v>14</v>
      </c>
      <c r="F567" s="4" t="s">
        <v>18</v>
      </c>
      <c r="G567" s="5">
        <v>100431</v>
      </c>
      <c r="H567" s="5">
        <v>225993</v>
      </c>
      <c r="I567" s="4">
        <v>255</v>
      </c>
      <c r="J567" s="4">
        <v>0.97</v>
      </c>
      <c r="K567" s="4">
        <v>6.29</v>
      </c>
      <c r="L567" s="4">
        <v>1.2</v>
      </c>
      <c r="M567" s="4">
        <v>2</v>
      </c>
      <c r="N567" s="4">
        <v>646</v>
      </c>
      <c r="O567" s="4" t="str">
        <f t="shared" si="16"/>
        <v>Full</v>
      </c>
      <c r="P567" s="5">
        <f t="shared" si="17"/>
        <v>100431</v>
      </c>
    </row>
    <row r="568" spans="1:16" x14ac:dyDescent="0.25">
      <c r="A568" s="4">
        <v>2017</v>
      </c>
      <c r="B568" s="4">
        <v>7</v>
      </c>
      <c r="C568" s="12" t="s">
        <v>23</v>
      </c>
      <c r="D568" s="4" t="s">
        <v>16</v>
      </c>
      <c r="E568" s="4" t="s">
        <v>14</v>
      </c>
      <c r="F568" s="4" t="s">
        <v>18</v>
      </c>
      <c r="G568" s="5">
        <v>52297</v>
      </c>
      <c r="H568" s="5">
        <v>171225</v>
      </c>
      <c r="I568" s="4">
        <v>271</v>
      </c>
      <c r="J568" s="4">
        <v>0.97</v>
      </c>
      <c r="K568" s="4">
        <v>6.29</v>
      </c>
      <c r="L568" s="4">
        <v>1.2</v>
      </c>
      <c r="M568" s="4">
        <v>7</v>
      </c>
      <c r="N568" s="4">
        <v>738</v>
      </c>
      <c r="O568" s="4" t="str">
        <f t="shared" si="16"/>
        <v>EMI</v>
      </c>
      <c r="P568" s="5">
        <f t="shared" si="17"/>
        <v>52924.563999999998</v>
      </c>
    </row>
    <row r="569" spans="1:16" x14ac:dyDescent="0.25">
      <c r="A569" s="4">
        <v>2021</v>
      </c>
      <c r="B569" s="4">
        <v>10</v>
      </c>
      <c r="C569" s="12" t="s">
        <v>23</v>
      </c>
      <c r="D569" s="4" t="s">
        <v>20</v>
      </c>
      <c r="E569" s="4" t="s">
        <v>14</v>
      </c>
      <c r="F569" s="4" t="s">
        <v>15</v>
      </c>
      <c r="G569" s="5">
        <v>106894</v>
      </c>
      <c r="H569" s="5">
        <v>379061</v>
      </c>
      <c r="I569" s="4">
        <v>35</v>
      </c>
      <c r="J569" s="4">
        <v>0.97</v>
      </c>
      <c r="K569" s="4">
        <v>6.29</v>
      </c>
      <c r="L569" s="4">
        <v>1.2</v>
      </c>
      <c r="M569" s="4">
        <v>2</v>
      </c>
      <c r="N569" s="4">
        <v>467</v>
      </c>
      <c r="O569" s="4" t="str">
        <f t="shared" si="16"/>
        <v>Discount</v>
      </c>
      <c r="P569" s="5">
        <f t="shared" si="17"/>
        <v>96204.6</v>
      </c>
    </row>
    <row r="570" spans="1:16" x14ac:dyDescent="0.25">
      <c r="A570" s="4">
        <v>2017</v>
      </c>
      <c r="B570" s="4">
        <v>10</v>
      </c>
      <c r="C570" s="12" t="s">
        <v>26</v>
      </c>
      <c r="D570" s="4" t="s">
        <v>24</v>
      </c>
      <c r="E570" s="4" t="s">
        <v>17</v>
      </c>
      <c r="F570" s="4" t="s">
        <v>18</v>
      </c>
      <c r="G570" s="5">
        <v>98772</v>
      </c>
      <c r="H570" s="5">
        <v>385834</v>
      </c>
      <c r="I570" s="4">
        <v>149</v>
      </c>
      <c r="J570" s="4">
        <v>0.97</v>
      </c>
      <c r="K570" s="4">
        <v>6.29</v>
      </c>
      <c r="L570" s="4">
        <v>1.2</v>
      </c>
      <c r="M570" s="4">
        <v>2</v>
      </c>
      <c r="N570" s="4">
        <v>406</v>
      </c>
      <c r="O570" s="4" t="str">
        <f t="shared" si="16"/>
        <v>Discount</v>
      </c>
      <c r="P570" s="5">
        <f t="shared" si="17"/>
        <v>88894.8</v>
      </c>
    </row>
    <row r="571" spans="1:16" x14ac:dyDescent="0.25">
      <c r="A571" s="4">
        <v>2016</v>
      </c>
      <c r="B571" s="4">
        <v>11</v>
      </c>
      <c r="C571" s="12" t="s">
        <v>26</v>
      </c>
      <c r="D571" s="4" t="s">
        <v>29</v>
      </c>
      <c r="E571" s="4" t="s">
        <v>14</v>
      </c>
      <c r="F571" s="4" t="s">
        <v>21</v>
      </c>
      <c r="G571" s="5">
        <v>54581</v>
      </c>
      <c r="H571" s="5">
        <v>346379</v>
      </c>
      <c r="I571" s="4">
        <v>108</v>
      </c>
      <c r="J571" s="4">
        <v>0.97</v>
      </c>
      <c r="K571" s="4">
        <v>6.29</v>
      </c>
      <c r="L571" s="4">
        <v>1.2</v>
      </c>
      <c r="M571" s="4">
        <v>4</v>
      </c>
      <c r="N571" s="4">
        <v>346</v>
      </c>
      <c r="O571" s="4" t="str">
        <f t="shared" si="16"/>
        <v>EMI</v>
      </c>
      <c r="P571" s="5">
        <f t="shared" si="17"/>
        <v>55235.972000000002</v>
      </c>
    </row>
    <row r="572" spans="1:16" x14ac:dyDescent="0.25">
      <c r="A572" s="4">
        <v>2024</v>
      </c>
      <c r="B572" s="4">
        <v>5</v>
      </c>
      <c r="C572" s="12" t="s">
        <v>35</v>
      </c>
      <c r="D572" s="4" t="s">
        <v>13</v>
      </c>
      <c r="E572" s="4" t="s">
        <v>18</v>
      </c>
      <c r="F572" s="4" t="s">
        <v>25</v>
      </c>
      <c r="G572" s="5">
        <v>90192</v>
      </c>
      <c r="H572" s="5">
        <v>260047</v>
      </c>
      <c r="I572" s="4">
        <v>287</v>
      </c>
      <c r="J572" s="4">
        <v>0.97</v>
      </c>
      <c r="K572" s="4">
        <v>6.29</v>
      </c>
      <c r="L572" s="4">
        <v>1.2</v>
      </c>
      <c r="M572" s="4">
        <v>9</v>
      </c>
      <c r="N572" s="4">
        <v>784</v>
      </c>
      <c r="O572" s="4" t="str">
        <f t="shared" si="16"/>
        <v>EMI</v>
      </c>
      <c r="P572" s="5">
        <f t="shared" si="17"/>
        <v>91274.304000000004</v>
      </c>
    </row>
    <row r="573" spans="1:16" x14ac:dyDescent="0.25">
      <c r="A573" s="4">
        <v>2018</v>
      </c>
      <c r="B573" s="4">
        <v>7</v>
      </c>
      <c r="C573" s="12" t="s">
        <v>33</v>
      </c>
      <c r="D573" s="4" t="s">
        <v>37</v>
      </c>
      <c r="E573" s="4" t="s">
        <v>18</v>
      </c>
      <c r="F573" s="4" t="s">
        <v>25</v>
      </c>
      <c r="G573" s="5">
        <v>36462</v>
      </c>
      <c r="H573" s="5">
        <v>69122</v>
      </c>
      <c r="I573" s="4">
        <v>60</v>
      </c>
      <c r="J573" s="4">
        <v>0.97</v>
      </c>
      <c r="K573" s="4">
        <v>6.29</v>
      </c>
      <c r="L573" s="4">
        <v>1.2</v>
      </c>
      <c r="M573" s="4">
        <v>8</v>
      </c>
      <c r="N573" s="4">
        <v>182</v>
      </c>
      <c r="O573" s="4" t="str">
        <f t="shared" si="16"/>
        <v>EMI</v>
      </c>
      <c r="P573" s="5">
        <f t="shared" si="17"/>
        <v>36899.544000000002</v>
      </c>
    </row>
    <row r="574" spans="1:16" x14ac:dyDescent="0.25">
      <c r="A574" s="4">
        <v>2022</v>
      </c>
      <c r="B574" s="4">
        <v>2</v>
      </c>
      <c r="C574" s="12" t="s">
        <v>33</v>
      </c>
      <c r="D574" s="4" t="s">
        <v>31</v>
      </c>
      <c r="E574" s="4" t="s">
        <v>17</v>
      </c>
      <c r="F574" s="4" t="s">
        <v>25</v>
      </c>
      <c r="G574" s="5">
        <v>99173</v>
      </c>
      <c r="H574" s="5">
        <v>336100</v>
      </c>
      <c r="I574" s="4">
        <v>160</v>
      </c>
      <c r="J574" s="4">
        <v>0.97</v>
      </c>
      <c r="K574" s="4">
        <v>6.29</v>
      </c>
      <c r="L574" s="4">
        <v>1.2</v>
      </c>
      <c r="M574" s="4">
        <v>2</v>
      </c>
      <c r="N574" s="4">
        <v>431</v>
      </c>
      <c r="O574" s="4" t="str">
        <f t="shared" si="16"/>
        <v>Discount</v>
      </c>
      <c r="P574" s="5">
        <f t="shared" si="17"/>
        <v>89255.7</v>
      </c>
    </row>
    <row r="575" spans="1:16" x14ac:dyDescent="0.25">
      <c r="A575" s="4">
        <v>2023</v>
      </c>
      <c r="B575" s="4">
        <v>4</v>
      </c>
      <c r="C575" s="12" t="s">
        <v>33</v>
      </c>
      <c r="D575" s="4" t="s">
        <v>22</v>
      </c>
      <c r="E575" s="4" t="s">
        <v>18</v>
      </c>
      <c r="F575" s="4" t="s">
        <v>21</v>
      </c>
      <c r="G575" s="5">
        <v>50511</v>
      </c>
      <c r="H575" s="5">
        <v>113879</v>
      </c>
      <c r="I575" s="4">
        <v>113</v>
      </c>
      <c r="J575" s="4">
        <v>0.97</v>
      </c>
      <c r="K575" s="4">
        <v>6.29</v>
      </c>
      <c r="L575" s="4">
        <v>1.2</v>
      </c>
      <c r="M575" s="4">
        <v>8</v>
      </c>
      <c r="N575" s="4">
        <v>309</v>
      </c>
      <c r="O575" s="4" t="str">
        <f t="shared" si="16"/>
        <v>EMI</v>
      </c>
      <c r="P575" s="5">
        <f t="shared" si="17"/>
        <v>51117.131999999998</v>
      </c>
    </row>
    <row r="576" spans="1:16" x14ac:dyDescent="0.25">
      <c r="A576" s="4">
        <v>2021</v>
      </c>
      <c r="B576" s="4">
        <v>2</v>
      </c>
      <c r="C576" s="12" t="s">
        <v>35</v>
      </c>
      <c r="D576" s="4" t="s">
        <v>31</v>
      </c>
      <c r="E576" s="4" t="s">
        <v>17</v>
      </c>
      <c r="F576" s="4" t="s">
        <v>21</v>
      </c>
      <c r="G576" s="5">
        <v>111106</v>
      </c>
      <c r="H576" s="5">
        <v>108560</v>
      </c>
      <c r="I576" s="4">
        <v>98</v>
      </c>
      <c r="J576" s="4">
        <v>0.97</v>
      </c>
      <c r="K576" s="4">
        <v>6.29</v>
      </c>
      <c r="L576" s="4">
        <v>1.2</v>
      </c>
      <c r="M576" s="4">
        <v>4</v>
      </c>
      <c r="N576" s="4">
        <v>381</v>
      </c>
      <c r="O576" s="4" t="str">
        <f t="shared" si="16"/>
        <v>EMI</v>
      </c>
      <c r="P576" s="5">
        <f t="shared" si="17"/>
        <v>112439.272</v>
      </c>
    </row>
    <row r="577" spans="1:16" x14ac:dyDescent="0.25">
      <c r="A577" s="4">
        <v>2015</v>
      </c>
      <c r="B577" s="4">
        <v>12</v>
      </c>
      <c r="C577" s="12" t="s">
        <v>19</v>
      </c>
      <c r="D577" s="4" t="s">
        <v>24</v>
      </c>
      <c r="E577" s="4" t="s">
        <v>14</v>
      </c>
      <c r="F577" s="4" t="s">
        <v>21</v>
      </c>
      <c r="G577" s="5">
        <v>83665</v>
      </c>
      <c r="H577" s="5">
        <v>422454</v>
      </c>
      <c r="I577" s="4">
        <v>150</v>
      </c>
      <c r="J577" s="4">
        <v>0.97</v>
      </c>
      <c r="K577" s="4">
        <v>6.29</v>
      </c>
      <c r="L577" s="4">
        <v>1.2</v>
      </c>
      <c r="M577" s="4">
        <v>2</v>
      </c>
      <c r="N577" s="4">
        <v>553</v>
      </c>
      <c r="O577" s="4" t="str">
        <f t="shared" si="16"/>
        <v>Discount</v>
      </c>
      <c r="P577" s="5">
        <f t="shared" si="17"/>
        <v>75298.5</v>
      </c>
    </row>
    <row r="578" spans="1:16" x14ac:dyDescent="0.25">
      <c r="A578" s="4">
        <v>2017</v>
      </c>
      <c r="B578" s="4">
        <v>7</v>
      </c>
      <c r="C578" s="12" t="s">
        <v>23</v>
      </c>
      <c r="D578" s="4" t="s">
        <v>29</v>
      </c>
      <c r="E578" s="4" t="s">
        <v>14</v>
      </c>
      <c r="F578" s="4" t="s">
        <v>21</v>
      </c>
      <c r="G578" s="5">
        <v>79414</v>
      </c>
      <c r="H578" s="5">
        <v>249757</v>
      </c>
      <c r="I578" s="4">
        <v>222</v>
      </c>
      <c r="J578" s="4">
        <v>0.97</v>
      </c>
      <c r="K578" s="4">
        <v>6.29</v>
      </c>
      <c r="L578" s="4">
        <v>1.2</v>
      </c>
      <c r="M578" s="4">
        <v>10</v>
      </c>
      <c r="N578" s="4">
        <v>632</v>
      </c>
      <c r="O578" s="4" t="str">
        <f t="shared" ref="O578:O641" si="18">IF(M578&gt;2,"EMI",IF(H578&gt;300000,"Discount","Full"))</f>
        <v>EMI</v>
      </c>
      <c r="P578" s="5">
        <f t="shared" ref="P578:P641" si="19">IF(O578="EMI", G578*(1+L578/100), IF(O578="Full", G578, G578*0.9))</f>
        <v>80366.968000000008</v>
      </c>
    </row>
    <row r="579" spans="1:16" x14ac:dyDescent="0.25">
      <c r="A579" s="4">
        <v>2023</v>
      </c>
      <c r="B579" s="4">
        <v>2</v>
      </c>
      <c r="C579" s="12" t="s">
        <v>34</v>
      </c>
      <c r="D579" s="4" t="s">
        <v>24</v>
      </c>
      <c r="E579" s="4" t="s">
        <v>14</v>
      </c>
      <c r="F579" s="4" t="s">
        <v>21</v>
      </c>
      <c r="G579" s="5">
        <v>116010</v>
      </c>
      <c r="H579" s="5">
        <v>467876</v>
      </c>
      <c r="I579" s="4">
        <v>242</v>
      </c>
      <c r="J579" s="4">
        <v>0.97</v>
      </c>
      <c r="K579" s="4">
        <v>6.29</v>
      </c>
      <c r="L579" s="4">
        <v>1.2</v>
      </c>
      <c r="M579" s="4">
        <v>7</v>
      </c>
      <c r="N579" s="4">
        <v>887</v>
      </c>
      <c r="O579" s="4" t="str">
        <f t="shared" si="18"/>
        <v>EMI</v>
      </c>
      <c r="P579" s="5">
        <f t="shared" si="19"/>
        <v>117402.12</v>
      </c>
    </row>
    <row r="580" spans="1:16" x14ac:dyDescent="0.25">
      <c r="A580" s="4">
        <v>2015</v>
      </c>
      <c r="B580" s="4">
        <v>11</v>
      </c>
      <c r="C580" s="12" t="s">
        <v>30</v>
      </c>
      <c r="D580" s="4" t="s">
        <v>13</v>
      </c>
      <c r="E580" s="4" t="s">
        <v>18</v>
      </c>
      <c r="F580" s="4" t="s">
        <v>18</v>
      </c>
      <c r="G580" s="5">
        <v>107573</v>
      </c>
      <c r="H580" s="5">
        <v>287268</v>
      </c>
      <c r="I580" s="4">
        <v>192</v>
      </c>
      <c r="J580" s="4">
        <v>0.97</v>
      </c>
      <c r="K580" s="4">
        <v>6.29</v>
      </c>
      <c r="L580" s="4">
        <v>1.2</v>
      </c>
      <c r="M580" s="4">
        <v>6</v>
      </c>
      <c r="N580" s="4">
        <v>759</v>
      </c>
      <c r="O580" s="4" t="str">
        <f t="shared" si="18"/>
        <v>EMI</v>
      </c>
      <c r="P580" s="5">
        <f t="shared" si="19"/>
        <v>108863.876</v>
      </c>
    </row>
    <row r="581" spans="1:16" x14ac:dyDescent="0.25">
      <c r="A581" s="4">
        <v>2023</v>
      </c>
      <c r="B581" s="4">
        <v>1</v>
      </c>
      <c r="C581" s="12" t="s">
        <v>23</v>
      </c>
      <c r="D581" s="4" t="s">
        <v>16</v>
      </c>
      <c r="E581" s="4" t="s">
        <v>17</v>
      </c>
      <c r="F581" s="4" t="s">
        <v>21</v>
      </c>
      <c r="G581" s="5">
        <v>48386</v>
      </c>
      <c r="H581" s="5">
        <v>313312</v>
      </c>
      <c r="I581" s="4">
        <v>260</v>
      </c>
      <c r="J581" s="4">
        <v>0.97</v>
      </c>
      <c r="K581" s="4">
        <v>6.29</v>
      </c>
      <c r="L581" s="4">
        <v>1.2</v>
      </c>
      <c r="M581" s="4">
        <v>10</v>
      </c>
      <c r="N581" s="4">
        <v>615</v>
      </c>
      <c r="O581" s="4" t="str">
        <f t="shared" si="18"/>
        <v>EMI</v>
      </c>
      <c r="P581" s="5">
        <f t="shared" si="19"/>
        <v>48966.631999999998</v>
      </c>
    </row>
    <row r="582" spans="1:16" x14ac:dyDescent="0.25">
      <c r="A582" s="4">
        <v>2022</v>
      </c>
      <c r="B582" s="4">
        <v>9</v>
      </c>
      <c r="C582" s="12" t="s">
        <v>26</v>
      </c>
      <c r="D582" s="4" t="s">
        <v>22</v>
      </c>
      <c r="E582" s="4" t="s">
        <v>14</v>
      </c>
      <c r="F582" s="4" t="s">
        <v>21</v>
      </c>
      <c r="G582" s="5">
        <v>89460</v>
      </c>
      <c r="H582" s="5">
        <v>357268</v>
      </c>
      <c r="I582" s="4">
        <v>18</v>
      </c>
      <c r="J582" s="4">
        <v>0.97</v>
      </c>
      <c r="K582" s="4">
        <v>6.29</v>
      </c>
      <c r="L582" s="4">
        <v>1.2</v>
      </c>
      <c r="M582" s="4">
        <v>5</v>
      </c>
      <c r="N582" s="4">
        <v>111</v>
      </c>
      <c r="O582" s="4" t="str">
        <f t="shared" si="18"/>
        <v>EMI</v>
      </c>
      <c r="P582" s="5">
        <f t="shared" si="19"/>
        <v>90533.52</v>
      </c>
    </row>
    <row r="583" spans="1:16" x14ac:dyDescent="0.25">
      <c r="A583" s="4">
        <v>2015</v>
      </c>
      <c r="B583" s="4">
        <v>1</v>
      </c>
      <c r="C583" s="12" t="s">
        <v>28</v>
      </c>
      <c r="D583" s="4" t="s">
        <v>13</v>
      </c>
      <c r="E583" s="4" t="s">
        <v>17</v>
      </c>
      <c r="F583" s="4" t="s">
        <v>21</v>
      </c>
      <c r="G583" s="5">
        <v>41221</v>
      </c>
      <c r="H583" s="5">
        <v>216969</v>
      </c>
      <c r="I583" s="4">
        <v>88</v>
      </c>
      <c r="J583" s="4">
        <v>0.97</v>
      </c>
      <c r="K583" s="4">
        <v>6.29</v>
      </c>
      <c r="L583" s="4">
        <v>1.2</v>
      </c>
      <c r="M583" s="4">
        <v>1</v>
      </c>
      <c r="N583" s="4">
        <v>492</v>
      </c>
      <c r="O583" s="4" t="str">
        <f t="shared" si="18"/>
        <v>Full</v>
      </c>
      <c r="P583" s="5">
        <f t="shared" si="19"/>
        <v>41221</v>
      </c>
    </row>
    <row r="584" spans="1:16" x14ac:dyDescent="0.25">
      <c r="A584" s="4">
        <v>2020</v>
      </c>
      <c r="B584" s="4">
        <v>8</v>
      </c>
      <c r="C584" s="12" t="s">
        <v>36</v>
      </c>
      <c r="D584" s="4" t="s">
        <v>37</v>
      </c>
      <c r="E584" s="4" t="s">
        <v>14</v>
      </c>
      <c r="F584" s="4" t="s">
        <v>21</v>
      </c>
      <c r="G584" s="5">
        <v>58474</v>
      </c>
      <c r="H584" s="5">
        <v>196104</v>
      </c>
      <c r="I584" s="4">
        <v>61</v>
      </c>
      <c r="J584" s="4">
        <v>0.97</v>
      </c>
      <c r="K584" s="4">
        <v>6.29</v>
      </c>
      <c r="L584" s="4">
        <v>1.2</v>
      </c>
      <c r="M584" s="4">
        <v>2</v>
      </c>
      <c r="N584" s="4">
        <v>245</v>
      </c>
      <c r="O584" s="4" t="str">
        <f t="shared" si="18"/>
        <v>Full</v>
      </c>
      <c r="P584" s="5">
        <f t="shared" si="19"/>
        <v>58474</v>
      </c>
    </row>
    <row r="585" spans="1:16" x14ac:dyDescent="0.25">
      <c r="A585" s="4">
        <v>2019</v>
      </c>
      <c r="B585" s="4">
        <v>2</v>
      </c>
      <c r="C585" s="12" t="s">
        <v>35</v>
      </c>
      <c r="D585" s="4" t="s">
        <v>37</v>
      </c>
      <c r="E585" s="4" t="s">
        <v>18</v>
      </c>
      <c r="F585" s="4" t="s">
        <v>25</v>
      </c>
      <c r="G585" s="5">
        <v>56045</v>
      </c>
      <c r="H585" s="5">
        <v>364941</v>
      </c>
      <c r="I585" s="4">
        <v>395</v>
      </c>
      <c r="J585" s="4">
        <v>0.97</v>
      </c>
      <c r="K585" s="4">
        <v>6.29</v>
      </c>
      <c r="L585" s="4">
        <v>1.2</v>
      </c>
      <c r="M585" s="4">
        <v>8</v>
      </c>
      <c r="N585" s="4">
        <v>1114</v>
      </c>
      <c r="O585" s="4" t="str">
        <f t="shared" si="18"/>
        <v>EMI</v>
      </c>
      <c r="P585" s="5">
        <f t="shared" si="19"/>
        <v>56717.54</v>
      </c>
    </row>
    <row r="586" spans="1:16" x14ac:dyDescent="0.25">
      <c r="A586" s="4">
        <v>2020</v>
      </c>
      <c r="B586" s="4">
        <v>12</v>
      </c>
      <c r="C586" s="12" t="s">
        <v>12</v>
      </c>
      <c r="D586" s="4" t="s">
        <v>24</v>
      </c>
      <c r="E586" s="4" t="s">
        <v>18</v>
      </c>
      <c r="F586" s="4" t="s">
        <v>21</v>
      </c>
      <c r="G586" s="5">
        <v>39922</v>
      </c>
      <c r="H586" s="5">
        <v>347438</v>
      </c>
      <c r="I586" s="4">
        <v>278</v>
      </c>
      <c r="J586" s="4">
        <v>0.97</v>
      </c>
      <c r="K586" s="4">
        <v>6.29</v>
      </c>
      <c r="L586" s="4">
        <v>1.2</v>
      </c>
      <c r="M586" s="4">
        <v>1</v>
      </c>
      <c r="N586" s="4">
        <v>641</v>
      </c>
      <c r="O586" s="4" t="str">
        <f t="shared" si="18"/>
        <v>Discount</v>
      </c>
      <c r="P586" s="5">
        <f t="shared" si="19"/>
        <v>35929.800000000003</v>
      </c>
    </row>
    <row r="587" spans="1:16" x14ac:dyDescent="0.25">
      <c r="A587" s="4">
        <v>2024</v>
      </c>
      <c r="B587" s="4">
        <v>8</v>
      </c>
      <c r="C587" s="12" t="s">
        <v>28</v>
      </c>
      <c r="D587" s="4" t="s">
        <v>29</v>
      </c>
      <c r="E587" s="4" t="s">
        <v>17</v>
      </c>
      <c r="F587" s="4" t="s">
        <v>18</v>
      </c>
      <c r="G587" s="5">
        <v>57706</v>
      </c>
      <c r="H587" s="5">
        <v>487043</v>
      </c>
      <c r="I587" s="4">
        <v>235</v>
      </c>
      <c r="J587" s="4">
        <v>0.97</v>
      </c>
      <c r="K587" s="4">
        <v>6.29</v>
      </c>
      <c r="L587" s="4">
        <v>1.2</v>
      </c>
      <c r="M587" s="4">
        <v>3</v>
      </c>
      <c r="N587" s="4">
        <v>737</v>
      </c>
      <c r="O587" s="4" t="str">
        <f t="shared" si="18"/>
        <v>EMI</v>
      </c>
      <c r="P587" s="5">
        <f t="shared" si="19"/>
        <v>58398.472000000002</v>
      </c>
    </row>
    <row r="588" spans="1:16" x14ac:dyDescent="0.25">
      <c r="A588" s="4">
        <v>2019</v>
      </c>
      <c r="B588" s="4">
        <v>3</v>
      </c>
      <c r="C588" s="12" t="s">
        <v>30</v>
      </c>
      <c r="D588" s="4" t="s">
        <v>13</v>
      </c>
      <c r="E588" s="4" t="s">
        <v>18</v>
      </c>
      <c r="F588" s="4" t="s">
        <v>18</v>
      </c>
      <c r="G588" s="5">
        <v>77771</v>
      </c>
      <c r="H588" s="5">
        <v>315660</v>
      </c>
      <c r="I588" s="4">
        <v>60</v>
      </c>
      <c r="J588" s="4">
        <v>0.97</v>
      </c>
      <c r="K588" s="4">
        <v>6.29</v>
      </c>
      <c r="L588" s="4">
        <v>1.2</v>
      </c>
      <c r="M588" s="4">
        <v>2</v>
      </c>
      <c r="N588" s="4">
        <v>225</v>
      </c>
      <c r="O588" s="4" t="str">
        <f t="shared" si="18"/>
        <v>Discount</v>
      </c>
      <c r="P588" s="5">
        <f t="shared" si="19"/>
        <v>69993.900000000009</v>
      </c>
    </row>
    <row r="589" spans="1:16" x14ac:dyDescent="0.25">
      <c r="A589" s="4">
        <v>2020</v>
      </c>
      <c r="B589" s="4">
        <v>6</v>
      </c>
      <c r="C589" s="12" t="s">
        <v>33</v>
      </c>
      <c r="D589" s="4" t="s">
        <v>27</v>
      </c>
      <c r="E589" s="4" t="s">
        <v>18</v>
      </c>
      <c r="F589" s="4" t="s">
        <v>18</v>
      </c>
      <c r="G589" s="5">
        <v>87335</v>
      </c>
      <c r="H589" s="5">
        <v>200823</v>
      </c>
      <c r="I589" s="4">
        <v>195</v>
      </c>
      <c r="J589" s="4">
        <v>0.97</v>
      </c>
      <c r="K589" s="4">
        <v>6.29</v>
      </c>
      <c r="L589" s="4">
        <v>1.2</v>
      </c>
      <c r="M589" s="4">
        <v>5</v>
      </c>
      <c r="N589" s="4">
        <v>451</v>
      </c>
      <c r="O589" s="4" t="str">
        <f t="shared" si="18"/>
        <v>EMI</v>
      </c>
      <c r="P589" s="5">
        <f t="shared" si="19"/>
        <v>88383.02</v>
      </c>
    </row>
    <row r="590" spans="1:16" x14ac:dyDescent="0.25">
      <c r="A590" s="4">
        <v>2019</v>
      </c>
      <c r="B590" s="4">
        <v>3</v>
      </c>
      <c r="C590" s="12" t="s">
        <v>26</v>
      </c>
      <c r="D590" s="4" t="s">
        <v>29</v>
      </c>
      <c r="E590" s="4" t="s">
        <v>17</v>
      </c>
      <c r="F590" s="4" t="s">
        <v>15</v>
      </c>
      <c r="G590" s="5">
        <v>87949</v>
      </c>
      <c r="H590" s="5">
        <v>80373</v>
      </c>
      <c r="I590" s="4">
        <v>43</v>
      </c>
      <c r="J590" s="4">
        <v>0.97</v>
      </c>
      <c r="K590" s="4">
        <v>6.29</v>
      </c>
      <c r="L590" s="4">
        <v>1.2</v>
      </c>
      <c r="M590" s="4">
        <v>4</v>
      </c>
      <c r="N590" s="4">
        <v>265</v>
      </c>
      <c r="O590" s="4" t="str">
        <f t="shared" si="18"/>
        <v>EMI</v>
      </c>
      <c r="P590" s="5">
        <f t="shared" si="19"/>
        <v>89004.388000000006</v>
      </c>
    </row>
    <row r="591" spans="1:16" x14ac:dyDescent="0.25">
      <c r="A591" s="4">
        <v>2019</v>
      </c>
      <c r="B591" s="4">
        <v>7</v>
      </c>
      <c r="C591" s="12" t="s">
        <v>26</v>
      </c>
      <c r="D591" s="4" t="s">
        <v>16</v>
      </c>
      <c r="E591" s="4" t="s">
        <v>14</v>
      </c>
      <c r="F591" s="4" t="s">
        <v>25</v>
      </c>
      <c r="G591" s="5">
        <v>105714</v>
      </c>
      <c r="H591" s="5">
        <v>172026</v>
      </c>
      <c r="I591" s="4">
        <v>300</v>
      </c>
      <c r="J591" s="4">
        <v>0.97</v>
      </c>
      <c r="K591" s="4">
        <v>6.29</v>
      </c>
      <c r="L591" s="4">
        <v>1.2</v>
      </c>
      <c r="M591" s="4">
        <v>7</v>
      </c>
      <c r="N591" s="4">
        <v>609</v>
      </c>
      <c r="O591" s="4" t="str">
        <f t="shared" si="18"/>
        <v>EMI</v>
      </c>
      <c r="P591" s="5">
        <f t="shared" si="19"/>
        <v>106982.568</v>
      </c>
    </row>
    <row r="592" spans="1:16" x14ac:dyDescent="0.25">
      <c r="A592" s="4">
        <v>2018</v>
      </c>
      <c r="B592" s="4">
        <v>10</v>
      </c>
      <c r="C592" s="12" t="s">
        <v>26</v>
      </c>
      <c r="D592" s="4" t="s">
        <v>37</v>
      </c>
      <c r="E592" s="4" t="s">
        <v>18</v>
      </c>
      <c r="F592" s="4" t="s">
        <v>21</v>
      </c>
      <c r="G592" s="5">
        <v>50240</v>
      </c>
      <c r="H592" s="5">
        <v>80270</v>
      </c>
      <c r="I592" s="4">
        <v>239</v>
      </c>
      <c r="J592" s="4">
        <v>0.97</v>
      </c>
      <c r="K592" s="4">
        <v>6.29</v>
      </c>
      <c r="L592" s="4">
        <v>1.2</v>
      </c>
      <c r="M592" s="4">
        <v>5</v>
      </c>
      <c r="N592" s="4">
        <v>703</v>
      </c>
      <c r="O592" s="4" t="str">
        <f t="shared" si="18"/>
        <v>EMI</v>
      </c>
      <c r="P592" s="5">
        <f t="shared" si="19"/>
        <v>50842.879999999997</v>
      </c>
    </row>
    <row r="593" spans="1:16" x14ac:dyDescent="0.25">
      <c r="A593" s="4">
        <v>2017</v>
      </c>
      <c r="B593" s="4">
        <v>9</v>
      </c>
      <c r="C593" s="12" t="s">
        <v>33</v>
      </c>
      <c r="D593" s="4" t="s">
        <v>24</v>
      </c>
      <c r="E593" s="4" t="s">
        <v>17</v>
      </c>
      <c r="F593" s="4" t="s">
        <v>15</v>
      </c>
      <c r="G593" s="5">
        <v>37716</v>
      </c>
      <c r="H593" s="5">
        <v>453602</v>
      </c>
      <c r="I593" s="4">
        <v>140</v>
      </c>
      <c r="J593" s="4">
        <v>0.97</v>
      </c>
      <c r="K593" s="4">
        <v>6.29</v>
      </c>
      <c r="L593" s="4">
        <v>1.2</v>
      </c>
      <c r="M593" s="4">
        <v>8</v>
      </c>
      <c r="N593" s="4">
        <v>327</v>
      </c>
      <c r="O593" s="4" t="str">
        <f t="shared" si="18"/>
        <v>EMI</v>
      </c>
      <c r="P593" s="5">
        <f t="shared" si="19"/>
        <v>38168.591999999997</v>
      </c>
    </row>
    <row r="594" spans="1:16" x14ac:dyDescent="0.25">
      <c r="A594" s="4">
        <v>2017</v>
      </c>
      <c r="B594" s="4">
        <v>2</v>
      </c>
      <c r="C594" s="12" t="s">
        <v>12</v>
      </c>
      <c r="D594" s="4" t="s">
        <v>32</v>
      </c>
      <c r="E594" s="4" t="s">
        <v>18</v>
      </c>
      <c r="F594" s="4" t="s">
        <v>21</v>
      </c>
      <c r="G594" s="5">
        <v>51574</v>
      </c>
      <c r="H594" s="5">
        <v>282931</v>
      </c>
      <c r="I594" s="4">
        <v>129</v>
      </c>
      <c r="J594" s="4">
        <v>0.97</v>
      </c>
      <c r="K594" s="4">
        <v>6.29</v>
      </c>
      <c r="L594" s="4">
        <v>1.2</v>
      </c>
      <c r="M594" s="4">
        <v>4</v>
      </c>
      <c r="N594" s="4">
        <v>591</v>
      </c>
      <c r="O594" s="4" t="str">
        <f t="shared" si="18"/>
        <v>EMI</v>
      </c>
      <c r="P594" s="5">
        <f t="shared" si="19"/>
        <v>52192.887999999999</v>
      </c>
    </row>
    <row r="595" spans="1:16" x14ac:dyDescent="0.25">
      <c r="A595" s="4">
        <v>2018</v>
      </c>
      <c r="B595" s="4">
        <v>12</v>
      </c>
      <c r="C595" s="12" t="s">
        <v>35</v>
      </c>
      <c r="D595" s="4" t="s">
        <v>37</v>
      </c>
      <c r="E595" s="4" t="s">
        <v>18</v>
      </c>
      <c r="F595" s="4" t="s">
        <v>15</v>
      </c>
      <c r="G595" s="5">
        <v>118255</v>
      </c>
      <c r="H595" s="5">
        <v>245889</v>
      </c>
      <c r="I595" s="4">
        <v>335</v>
      </c>
      <c r="J595" s="4">
        <v>0.97</v>
      </c>
      <c r="K595" s="4">
        <v>6.29</v>
      </c>
      <c r="L595" s="4">
        <v>1.2</v>
      </c>
      <c r="M595" s="4">
        <v>6</v>
      </c>
      <c r="N595" s="4">
        <v>1069</v>
      </c>
      <c r="O595" s="4" t="str">
        <f t="shared" si="18"/>
        <v>EMI</v>
      </c>
      <c r="P595" s="5">
        <f t="shared" si="19"/>
        <v>119674.06</v>
      </c>
    </row>
    <row r="596" spans="1:16" x14ac:dyDescent="0.25">
      <c r="A596" s="4">
        <v>2023</v>
      </c>
      <c r="B596" s="4">
        <v>12</v>
      </c>
      <c r="C596" s="12" t="s">
        <v>28</v>
      </c>
      <c r="D596" s="4" t="s">
        <v>22</v>
      </c>
      <c r="E596" s="4" t="s">
        <v>18</v>
      </c>
      <c r="F596" s="4" t="s">
        <v>15</v>
      </c>
      <c r="G596" s="5">
        <v>108717</v>
      </c>
      <c r="H596" s="5">
        <v>115184</v>
      </c>
      <c r="I596" s="4">
        <v>256</v>
      </c>
      <c r="J596" s="4">
        <v>0.97</v>
      </c>
      <c r="K596" s="4">
        <v>6.29</v>
      </c>
      <c r="L596" s="4">
        <v>1.2</v>
      </c>
      <c r="M596" s="4">
        <v>4</v>
      </c>
      <c r="N596" s="4">
        <v>530</v>
      </c>
      <c r="O596" s="4" t="str">
        <f t="shared" si="18"/>
        <v>EMI</v>
      </c>
      <c r="P596" s="5">
        <f t="shared" si="19"/>
        <v>110021.60400000001</v>
      </c>
    </row>
    <row r="597" spans="1:16" x14ac:dyDescent="0.25">
      <c r="A597" s="4">
        <v>2016</v>
      </c>
      <c r="B597" s="4">
        <v>5</v>
      </c>
      <c r="C597" s="12" t="s">
        <v>33</v>
      </c>
      <c r="D597" s="4" t="s">
        <v>20</v>
      </c>
      <c r="E597" s="4" t="s">
        <v>18</v>
      </c>
      <c r="F597" s="4" t="s">
        <v>18</v>
      </c>
      <c r="G597" s="5">
        <v>79066</v>
      </c>
      <c r="H597" s="5">
        <v>260765</v>
      </c>
      <c r="I597" s="4">
        <v>201</v>
      </c>
      <c r="J597" s="4">
        <v>0.97</v>
      </c>
      <c r="K597" s="4">
        <v>6.29</v>
      </c>
      <c r="L597" s="4">
        <v>1.2</v>
      </c>
      <c r="M597" s="4">
        <v>2</v>
      </c>
      <c r="N597" s="4">
        <v>587</v>
      </c>
      <c r="O597" s="4" t="str">
        <f t="shared" si="18"/>
        <v>Full</v>
      </c>
      <c r="P597" s="5">
        <f t="shared" si="19"/>
        <v>79066</v>
      </c>
    </row>
    <row r="598" spans="1:16" x14ac:dyDescent="0.25">
      <c r="A598" s="4">
        <v>2023</v>
      </c>
      <c r="B598" s="4">
        <v>6</v>
      </c>
      <c r="C598" s="12" t="s">
        <v>30</v>
      </c>
      <c r="D598" s="4" t="s">
        <v>32</v>
      </c>
      <c r="E598" s="4" t="s">
        <v>17</v>
      </c>
      <c r="F598" s="4" t="s">
        <v>18</v>
      </c>
      <c r="G598" s="5">
        <v>96826</v>
      </c>
      <c r="H598" s="5">
        <v>87879</v>
      </c>
      <c r="I598" s="4">
        <v>332</v>
      </c>
      <c r="J598" s="4">
        <v>0.97</v>
      </c>
      <c r="K598" s="4">
        <v>6.29</v>
      </c>
      <c r="L598" s="4">
        <v>1.2</v>
      </c>
      <c r="M598" s="4">
        <v>1</v>
      </c>
      <c r="N598" s="4">
        <v>905</v>
      </c>
      <c r="O598" s="4" t="str">
        <f t="shared" si="18"/>
        <v>Full</v>
      </c>
      <c r="P598" s="5">
        <f t="shared" si="19"/>
        <v>96826</v>
      </c>
    </row>
    <row r="599" spans="1:16" x14ac:dyDescent="0.25">
      <c r="A599" s="4">
        <v>2015</v>
      </c>
      <c r="B599" s="4">
        <v>4</v>
      </c>
      <c r="C599" s="12" t="s">
        <v>35</v>
      </c>
      <c r="D599" s="4" t="s">
        <v>24</v>
      </c>
      <c r="E599" s="4" t="s">
        <v>17</v>
      </c>
      <c r="F599" s="4" t="s">
        <v>15</v>
      </c>
      <c r="G599" s="5">
        <v>55213</v>
      </c>
      <c r="H599" s="5">
        <v>361741</v>
      </c>
      <c r="I599" s="4">
        <v>219</v>
      </c>
      <c r="J599" s="4">
        <v>0.97</v>
      </c>
      <c r="K599" s="4">
        <v>6.29</v>
      </c>
      <c r="L599" s="4">
        <v>1.2</v>
      </c>
      <c r="M599" s="4">
        <v>1</v>
      </c>
      <c r="N599" s="4">
        <v>717</v>
      </c>
      <c r="O599" s="4" t="str">
        <f t="shared" si="18"/>
        <v>Discount</v>
      </c>
      <c r="P599" s="5">
        <f t="shared" si="19"/>
        <v>49691.700000000004</v>
      </c>
    </row>
    <row r="600" spans="1:16" x14ac:dyDescent="0.25">
      <c r="A600" s="4">
        <v>2015</v>
      </c>
      <c r="B600" s="4">
        <v>4</v>
      </c>
      <c r="C600" s="12" t="s">
        <v>30</v>
      </c>
      <c r="D600" s="4" t="s">
        <v>27</v>
      </c>
      <c r="E600" s="4" t="s">
        <v>17</v>
      </c>
      <c r="F600" s="4" t="s">
        <v>18</v>
      </c>
      <c r="G600" s="5">
        <v>106916</v>
      </c>
      <c r="H600" s="5">
        <v>482348</v>
      </c>
      <c r="I600" s="4">
        <v>112</v>
      </c>
      <c r="J600" s="4">
        <v>0.97</v>
      </c>
      <c r="K600" s="4">
        <v>6.29</v>
      </c>
      <c r="L600" s="4">
        <v>1.2</v>
      </c>
      <c r="M600" s="4">
        <v>8</v>
      </c>
      <c r="N600" s="4">
        <v>408</v>
      </c>
      <c r="O600" s="4" t="str">
        <f t="shared" si="18"/>
        <v>EMI</v>
      </c>
      <c r="P600" s="5">
        <f t="shared" si="19"/>
        <v>108198.992</v>
      </c>
    </row>
    <row r="601" spans="1:16" x14ac:dyDescent="0.25">
      <c r="A601" s="4">
        <v>2019</v>
      </c>
      <c r="B601" s="4">
        <v>4</v>
      </c>
      <c r="C601" s="12" t="s">
        <v>35</v>
      </c>
      <c r="D601" s="4" t="s">
        <v>32</v>
      </c>
      <c r="E601" s="4" t="s">
        <v>18</v>
      </c>
      <c r="F601" s="4" t="s">
        <v>15</v>
      </c>
      <c r="G601" s="5">
        <v>101151</v>
      </c>
      <c r="H601" s="5">
        <v>53626</v>
      </c>
      <c r="I601" s="4">
        <v>338</v>
      </c>
      <c r="J601" s="4">
        <v>0.97</v>
      </c>
      <c r="K601" s="4">
        <v>6.29</v>
      </c>
      <c r="L601" s="4">
        <v>1.2</v>
      </c>
      <c r="M601" s="4">
        <v>4</v>
      </c>
      <c r="N601" s="4">
        <v>976</v>
      </c>
      <c r="O601" s="4" t="str">
        <f t="shared" si="18"/>
        <v>EMI</v>
      </c>
      <c r="P601" s="5">
        <f t="shared" si="19"/>
        <v>102364.81200000001</v>
      </c>
    </row>
    <row r="602" spans="1:16" x14ac:dyDescent="0.25">
      <c r="A602" s="4">
        <v>2020</v>
      </c>
      <c r="B602" s="4">
        <v>2</v>
      </c>
      <c r="C602" s="12" t="s">
        <v>12</v>
      </c>
      <c r="D602" s="4" t="s">
        <v>22</v>
      </c>
      <c r="E602" s="4" t="s">
        <v>18</v>
      </c>
      <c r="F602" s="4" t="s">
        <v>25</v>
      </c>
      <c r="G602" s="5">
        <v>85906</v>
      </c>
      <c r="H602" s="5">
        <v>135936</v>
      </c>
      <c r="I602" s="4">
        <v>381</v>
      </c>
      <c r="J602" s="4">
        <v>0.97</v>
      </c>
      <c r="K602" s="4">
        <v>6.29</v>
      </c>
      <c r="L602" s="4">
        <v>1.2</v>
      </c>
      <c r="M602" s="4">
        <v>5</v>
      </c>
      <c r="N602" s="4">
        <v>802</v>
      </c>
      <c r="O602" s="4" t="str">
        <f t="shared" si="18"/>
        <v>EMI</v>
      </c>
      <c r="P602" s="5">
        <f t="shared" si="19"/>
        <v>86936.872000000003</v>
      </c>
    </row>
    <row r="603" spans="1:16" x14ac:dyDescent="0.25">
      <c r="A603" s="4">
        <v>2020</v>
      </c>
      <c r="B603" s="4">
        <v>4</v>
      </c>
      <c r="C603" s="12" t="s">
        <v>36</v>
      </c>
      <c r="D603" s="4" t="s">
        <v>29</v>
      </c>
      <c r="E603" s="4" t="s">
        <v>18</v>
      </c>
      <c r="F603" s="4" t="s">
        <v>18</v>
      </c>
      <c r="G603" s="5">
        <v>35463</v>
      </c>
      <c r="H603" s="5">
        <v>284873</v>
      </c>
      <c r="I603" s="4">
        <v>142</v>
      </c>
      <c r="J603" s="4">
        <v>0.97</v>
      </c>
      <c r="K603" s="4">
        <v>6.29</v>
      </c>
      <c r="L603" s="4">
        <v>1.2</v>
      </c>
      <c r="M603" s="4">
        <v>8</v>
      </c>
      <c r="N603" s="4">
        <v>644</v>
      </c>
      <c r="O603" s="4" t="str">
        <f t="shared" si="18"/>
        <v>EMI</v>
      </c>
      <c r="P603" s="5">
        <f t="shared" si="19"/>
        <v>35888.555999999997</v>
      </c>
    </row>
    <row r="604" spans="1:16" x14ac:dyDescent="0.25">
      <c r="A604" s="4">
        <v>2017</v>
      </c>
      <c r="B604" s="4">
        <v>11</v>
      </c>
      <c r="C604" s="12" t="s">
        <v>30</v>
      </c>
      <c r="D604" s="4" t="s">
        <v>27</v>
      </c>
      <c r="E604" s="4" t="s">
        <v>17</v>
      </c>
      <c r="F604" s="4" t="s">
        <v>18</v>
      </c>
      <c r="G604" s="5">
        <v>66973</v>
      </c>
      <c r="H604" s="5">
        <v>131515</v>
      </c>
      <c r="I604" s="4">
        <v>332</v>
      </c>
      <c r="J604" s="4">
        <v>0.97</v>
      </c>
      <c r="K604" s="4">
        <v>6.29</v>
      </c>
      <c r="L604" s="4">
        <v>1.2</v>
      </c>
      <c r="M604" s="4">
        <v>7</v>
      </c>
      <c r="N604" s="4">
        <v>737</v>
      </c>
      <c r="O604" s="4" t="str">
        <f t="shared" si="18"/>
        <v>EMI</v>
      </c>
      <c r="P604" s="5">
        <f t="shared" si="19"/>
        <v>67776.676000000007</v>
      </c>
    </row>
    <row r="605" spans="1:16" x14ac:dyDescent="0.25">
      <c r="A605" s="4">
        <v>2021</v>
      </c>
      <c r="B605" s="4">
        <v>1</v>
      </c>
      <c r="C605" s="12" t="s">
        <v>33</v>
      </c>
      <c r="D605" s="4" t="s">
        <v>37</v>
      </c>
      <c r="E605" s="4" t="s">
        <v>18</v>
      </c>
      <c r="F605" s="4" t="s">
        <v>18</v>
      </c>
      <c r="G605" s="5">
        <v>109694</v>
      </c>
      <c r="H605" s="5">
        <v>258137</v>
      </c>
      <c r="I605" s="4">
        <v>148</v>
      </c>
      <c r="J605" s="4">
        <v>0.97</v>
      </c>
      <c r="K605" s="4">
        <v>6.29</v>
      </c>
      <c r="L605" s="4">
        <v>1.2</v>
      </c>
      <c r="M605" s="4">
        <v>8</v>
      </c>
      <c r="N605" s="4">
        <v>410</v>
      </c>
      <c r="O605" s="4" t="str">
        <f t="shared" si="18"/>
        <v>EMI</v>
      </c>
      <c r="P605" s="5">
        <f t="shared" si="19"/>
        <v>111010.32799999999</v>
      </c>
    </row>
    <row r="606" spans="1:16" x14ac:dyDescent="0.25">
      <c r="A606" s="4">
        <v>2023</v>
      </c>
      <c r="B606" s="4">
        <v>12</v>
      </c>
      <c r="C606" s="12" t="s">
        <v>35</v>
      </c>
      <c r="D606" s="4" t="s">
        <v>27</v>
      </c>
      <c r="E606" s="4" t="s">
        <v>14</v>
      </c>
      <c r="F606" s="4" t="s">
        <v>25</v>
      </c>
      <c r="G606" s="5">
        <v>55651</v>
      </c>
      <c r="H606" s="5">
        <v>105390</v>
      </c>
      <c r="I606" s="4">
        <v>130</v>
      </c>
      <c r="J606" s="4">
        <v>0.97</v>
      </c>
      <c r="K606" s="4">
        <v>6.29</v>
      </c>
      <c r="L606" s="4">
        <v>1.2</v>
      </c>
      <c r="M606" s="4">
        <v>8</v>
      </c>
      <c r="N606" s="4">
        <v>511</v>
      </c>
      <c r="O606" s="4" t="str">
        <f t="shared" si="18"/>
        <v>EMI</v>
      </c>
      <c r="P606" s="5">
        <f t="shared" si="19"/>
        <v>56318.811999999998</v>
      </c>
    </row>
    <row r="607" spans="1:16" x14ac:dyDescent="0.25">
      <c r="A607" s="4">
        <v>2024</v>
      </c>
      <c r="B607" s="4">
        <v>6</v>
      </c>
      <c r="C607" s="12" t="s">
        <v>26</v>
      </c>
      <c r="D607" s="4" t="s">
        <v>13</v>
      </c>
      <c r="E607" s="4" t="s">
        <v>18</v>
      </c>
      <c r="F607" s="4" t="s">
        <v>15</v>
      </c>
      <c r="G607" s="5">
        <v>103694</v>
      </c>
      <c r="H607" s="5">
        <v>459861</v>
      </c>
      <c r="I607" s="4">
        <v>103</v>
      </c>
      <c r="J607" s="4">
        <v>0.97</v>
      </c>
      <c r="K607" s="4">
        <v>6.29</v>
      </c>
      <c r="L607" s="4">
        <v>1.2</v>
      </c>
      <c r="M607" s="4">
        <v>6</v>
      </c>
      <c r="N607" s="4">
        <v>527</v>
      </c>
      <c r="O607" s="4" t="str">
        <f t="shared" si="18"/>
        <v>EMI</v>
      </c>
      <c r="P607" s="5">
        <f t="shared" si="19"/>
        <v>104938.32799999999</v>
      </c>
    </row>
    <row r="608" spans="1:16" x14ac:dyDescent="0.25">
      <c r="A608" s="4">
        <v>2022</v>
      </c>
      <c r="B608" s="4">
        <v>1</v>
      </c>
      <c r="C608" s="12" t="s">
        <v>23</v>
      </c>
      <c r="D608" s="4" t="s">
        <v>22</v>
      </c>
      <c r="E608" s="4" t="s">
        <v>14</v>
      </c>
      <c r="F608" s="4" t="s">
        <v>21</v>
      </c>
      <c r="G608" s="5">
        <v>55008</v>
      </c>
      <c r="H608" s="5">
        <v>273032</v>
      </c>
      <c r="I608" s="4">
        <v>138</v>
      </c>
      <c r="J608" s="4">
        <v>0.97</v>
      </c>
      <c r="K608" s="4">
        <v>6.29</v>
      </c>
      <c r="L608" s="4">
        <v>1.2</v>
      </c>
      <c r="M608" s="4">
        <v>10</v>
      </c>
      <c r="N608" s="4">
        <v>521</v>
      </c>
      <c r="O608" s="4" t="str">
        <f t="shared" si="18"/>
        <v>EMI</v>
      </c>
      <c r="P608" s="5">
        <f t="shared" si="19"/>
        <v>55668.095999999998</v>
      </c>
    </row>
    <row r="609" spans="1:16" x14ac:dyDescent="0.25">
      <c r="A609" s="4">
        <v>2020</v>
      </c>
      <c r="B609" s="4">
        <v>10</v>
      </c>
      <c r="C609" s="12" t="s">
        <v>26</v>
      </c>
      <c r="D609" s="4" t="s">
        <v>32</v>
      </c>
      <c r="E609" s="4" t="s">
        <v>18</v>
      </c>
      <c r="F609" s="4" t="s">
        <v>18</v>
      </c>
      <c r="G609" s="5">
        <v>105474</v>
      </c>
      <c r="H609" s="5">
        <v>104144</v>
      </c>
      <c r="I609" s="4">
        <v>100</v>
      </c>
      <c r="J609" s="4">
        <v>0.97</v>
      </c>
      <c r="K609" s="4">
        <v>6.29</v>
      </c>
      <c r="L609" s="4">
        <v>1.2</v>
      </c>
      <c r="M609" s="4">
        <v>2</v>
      </c>
      <c r="N609" s="4">
        <v>355</v>
      </c>
      <c r="O609" s="4" t="str">
        <f t="shared" si="18"/>
        <v>Full</v>
      </c>
      <c r="P609" s="5">
        <f t="shared" si="19"/>
        <v>105474</v>
      </c>
    </row>
    <row r="610" spans="1:16" x14ac:dyDescent="0.25">
      <c r="A610" s="4">
        <v>2022</v>
      </c>
      <c r="B610" s="4">
        <v>6</v>
      </c>
      <c r="C610" s="12" t="s">
        <v>19</v>
      </c>
      <c r="D610" s="4" t="s">
        <v>13</v>
      </c>
      <c r="E610" s="4" t="s">
        <v>17</v>
      </c>
      <c r="F610" s="4" t="s">
        <v>15</v>
      </c>
      <c r="G610" s="5">
        <v>73185</v>
      </c>
      <c r="H610" s="5">
        <v>194454</v>
      </c>
      <c r="I610" s="4">
        <v>101</v>
      </c>
      <c r="J610" s="4">
        <v>0.97</v>
      </c>
      <c r="K610" s="4">
        <v>6.29</v>
      </c>
      <c r="L610" s="4">
        <v>1.2</v>
      </c>
      <c r="M610" s="4">
        <v>6</v>
      </c>
      <c r="N610" s="4">
        <v>406</v>
      </c>
      <c r="O610" s="4" t="str">
        <f t="shared" si="18"/>
        <v>EMI</v>
      </c>
      <c r="P610" s="5">
        <f t="shared" si="19"/>
        <v>74063.22</v>
      </c>
    </row>
    <row r="611" spans="1:16" x14ac:dyDescent="0.25">
      <c r="A611" s="4">
        <v>2019</v>
      </c>
      <c r="B611" s="4">
        <v>1</v>
      </c>
      <c r="C611" s="12" t="s">
        <v>36</v>
      </c>
      <c r="D611" s="4" t="s">
        <v>27</v>
      </c>
      <c r="E611" s="4" t="s">
        <v>18</v>
      </c>
      <c r="F611" s="4" t="s">
        <v>25</v>
      </c>
      <c r="G611" s="5">
        <v>109417</v>
      </c>
      <c r="H611" s="5">
        <v>54025</v>
      </c>
      <c r="I611" s="4">
        <v>72</v>
      </c>
      <c r="J611" s="4">
        <v>0.97</v>
      </c>
      <c r="K611" s="4">
        <v>6.29</v>
      </c>
      <c r="L611" s="4">
        <v>1.2</v>
      </c>
      <c r="M611" s="4">
        <v>1</v>
      </c>
      <c r="N611" s="4">
        <v>250</v>
      </c>
      <c r="O611" s="4" t="str">
        <f t="shared" si="18"/>
        <v>Full</v>
      </c>
      <c r="P611" s="5">
        <f t="shared" si="19"/>
        <v>109417</v>
      </c>
    </row>
    <row r="612" spans="1:16" x14ac:dyDescent="0.25">
      <c r="A612" s="4">
        <v>2022</v>
      </c>
      <c r="B612" s="4">
        <v>6</v>
      </c>
      <c r="C612" s="12" t="s">
        <v>36</v>
      </c>
      <c r="D612" s="4" t="s">
        <v>13</v>
      </c>
      <c r="E612" s="4" t="s">
        <v>14</v>
      </c>
      <c r="F612" s="4" t="s">
        <v>21</v>
      </c>
      <c r="G612" s="5">
        <v>106139</v>
      </c>
      <c r="H612" s="5">
        <v>486442</v>
      </c>
      <c r="I612" s="4">
        <v>38</v>
      </c>
      <c r="J612" s="4">
        <v>0.97</v>
      </c>
      <c r="K612" s="4">
        <v>6.29</v>
      </c>
      <c r="L612" s="4">
        <v>1.2</v>
      </c>
      <c r="M612" s="4">
        <v>1</v>
      </c>
      <c r="N612" s="4">
        <v>407</v>
      </c>
      <c r="O612" s="4" t="str">
        <f t="shared" si="18"/>
        <v>Discount</v>
      </c>
      <c r="P612" s="5">
        <f t="shared" si="19"/>
        <v>95525.1</v>
      </c>
    </row>
    <row r="613" spans="1:16" x14ac:dyDescent="0.25">
      <c r="A613" s="4">
        <v>2024</v>
      </c>
      <c r="B613" s="4">
        <v>10</v>
      </c>
      <c r="C613" s="12" t="s">
        <v>26</v>
      </c>
      <c r="D613" s="4" t="s">
        <v>31</v>
      </c>
      <c r="E613" s="4" t="s">
        <v>14</v>
      </c>
      <c r="F613" s="4" t="s">
        <v>18</v>
      </c>
      <c r="G613" s="5">
        <v>69980</v>
      </c>
      <c r="H613" s="5">
        <v>391524</v>
      </c>
      <c r="I613" s="4">
        <v>219</v>
      </c>
      <c r="J613" s="4">
        <v>0.97</v>
      </c>
      <c r="K613" s="4">
        <v>6.29</v>
      </c>
      <c r="L613" s="4">
        <v>1.2</v>
      </c>
      <c r="M613" s="4">
        <v>3</v>
      </c>
      <c r="N613" s="4">
        <v>914</v>
      </c>
      <c r="O613" s="4" t="str">
        <f t="shared" si="18"/>
        <v>EMI</v>
      </c>
      <c r="P613" s="5">
        <f t="shared" si="19"/>
        <v>70819.759999999995</v>
      </c>
    </row>
    <row r="614" spans="1:16" x14ac:dyDescent="0.25">
      <c r="A614" s="4">
        <v>2018</v>
      </c>
      <c r="B614" s="4">
        <v>8</v>
      </c>
      <c r="C614" s="12" t="s">
        <v>28</v>
      </c>
      <c r="D614" s="4" t="s">
        <v>22</v>
      </c>
      <c r="E614" s="4" t="s">
        <v>18</v>
      </c>
      <c r="F614" s="4" t="s">
        <v>25</v>
      </c>
      <c r="G614" s="5">
        <v>57504</v>
      </c>
      <c r="H614" s="5">
        <v>304043</v>
      </c>
      <c r="I614" s="4">
        <v>21</v>
      </c>
      <c r="J614" s="4">
        <v>0.97</v>
      </c>
      <c r="K614" s="4">
        <v>6.29</v>
      </c>
      <c r="L614" s="4">
        <v>1.2</v>
      </c>
      <c r="M614" s="4">
        <v>3</v>
      </c>
      <c r="N614" s="4">
        <v>387</v>
      </c>
      <c r="O614" s="4" t="str">
        <f t="shared" si="18"/>
        <v>EMI</v>
      </c>
      <c r="P614" s="5">
        <f t="shared" si="19"/>
        <v>58194.048000000003</v>
      </c>
    </row>
    <row r="615" spans="1:16" x14ac:dyDescent="0.25">
      <c r="A615" s="4">
        <v>2024</v>
      </c>
      <c r="B615" s="4">
        <v>11</v>
      </c>
      <c r="C615" s="12" t="s">
        <v>12</v>
      </c>
      <c r="D615" s="4" t="s">
        <v>16</v>
      </c>
      <c r="E615" s="4" t="s">
        <v>14</v>
      </c>
      <c r="F615" s="4" t="s">
        <v>25</v>
      </c>
      <c r="G615" s="5">
        <v>89970</v>
      </c>
      <c r="H615" s="5">
        <v>168910</v>
      </c>
      <c r="I615" s="4">
        <v>342</v>
      </c>
      <c r="J615" s="4">
        <v>0.97</v>
      </c>
      <c r="K615" s="4">
        <v>6.29</v>
      </c>
      <c r="L615" s="4">
        <v>1.2</v>
      </c>
      <c r="M615" s="4">
        <v>5</v>
      </c>
      <c r="N615" s="4">
        <v>798</v>
      </c>
      <c r="O615" s="4" t="str">
        <f t="shared" si="18"/>
        <v>EMI</v>
      </c>
      <c r="P615" s="5">
        <f t="shared" si="19"/>
        <v>91049.64</v>
      </c>
    </row>
    <row r="616" spans="1:16" x14ac:dyDescent="0.25">
      <c r="A616" s="4">
        <v>2022</v>
      </c>
      <c r="B616" s="4">
        <v>2</v>
      </c>
      <c r="C616" s="12" t="s">
        <v>30</v>
      </c>
      <c r="D616" s="4" t="s">
        <v>29</v>
      </c>
      <c r="E616" s="4" t="s">
        <v>14</v>
      </c>
      <c r="F616" s="4" t="s">
        <v>21</v>
      </c>
      <c r="G616" s="5">
        <v>51766</v>
      </c>
      <c r="H616" s="5">
        <v>146055</v>
      </c>
      <c r="I616" s="4">
        <v>306</v>
      </c>
      <c r="J616" s="4">
        <v>0.97</v>
      </c>
      <c r="K616" s="4">
        <v>6.29</v>
      </c>
      <c r="L616" s="4">
        <v>1.2</v>
      </c>
      <c r="M616" s="4">
        <v>1</v>
      </c>
      <c r="N616" s="4">
        <v>1027</v>
      </c>
      <c r="O616" s="4" t="str">
        <f t="shared" si="18"/>
        <v>Full</v>
      </c>
      <c r="P616" s="5">
        <f t="shared" si="19"/>
        <v>51766</v>
      </c>
    </row>
    <row r="617" spans="1:16" x14ac:dyDescent="0.25">
      <c r="A617" s="4">
        <v>2024</v>
      </c>
      <c r="B617" s="4">
        <v>2</v>
      </c>
      <c r="C617" s="12" t="s">
        <v>33</v>
      </c>
      <c r="D617" s="4" t="s">
        <v>27</v>
      </c>
      <c r="E617" s="4" t="s">
        <v>17</v>
      </c>
      <c r="F617" s="4" t="s">
        <v>15</v>
      </c>
      <c r="G617" s="5">
        <v>46695</v>
      </c>
      <c r="H617" s="5">
        <v>438333</v>
      </c>
      <c r="I617" s="4">
        <v>139</v>
      </c>
      <c r="J617" s="4">
        <v>0.97</v>
      </c>
      <c r="K617" s="4">
        <v>6.29</v>
      </c>
      <c r="L617" s="4">
        <v>1.2</v>
      </c>
      <c r="M617" s="4">
        <v>10</v>
      </c>
      <c r="N617" s="4">
        <v>314</v>
      </c>
      <c r="O617" s="4" t="str">
        <f t="shared" si="18"/>
        <v>EMI</v>
      </c>
      <c r="P617" s="5">
        <f t="shared" si="19"/>
        <v>47255.340000000004</v>
      </c>
    </row>
    <row r="618" spans="1:16" x14ac:dyDescent="0.25">
      <c r="A618" s="4">
        <v>2016</v>
      </c>
      <c r="B618" s="4">
        <v>12</v>
      </c>
      <c r="C618" s="12" t="s">
        <v>36</v>
      </c>
      <c r="D618" s="4" t="s">
        <v>22</v>
      </c>
      <c r="E618" s="4" t="s">
        <v>18</v>
      </c>
      <c r="F618" s="4" t="s">
        <v>18</v>
      </c>
      <c r="G618" s="5">
        <v>52796</v>
      </c>
      <c r="H618" s="5">
        <v>255782</v>
      </c>
      <c r="I618" s="4">
        <v>302</v>
      </c>
      <c r="J618" s="4">
        <v>0.97</v>
      </c>
      <c r="K618" s="4">
        <v>6.29</v>
      </c>
      <c r="L618" s="4">
        <v>1.2</v>
      </c>
      <c r="M618" s="4">
        <v>6</v>
      </c>
      <c r="N618" s="4">
        <v>953</v>
      </c>
      <c r="O618" s="4" t="str">
        <f t="shared" si="18"/>
        <v>EMI</v>
      </c>
      <c r="P618" s="5">
        <f t="shared" si="19"/>
        <v>53429.552000000003</v>
      </c>
    </row>
    <row r="619" spans="1:16" x14ac:dyDescent="0.25">
      <c r="A619" s="4">
        <v>2019</v>
      </c>
      <c r="B619" s="4">
        <v>4</v>
      </c>
      <c r="C619" s="12" t="s">
        <v>26</v>
      </c>
      <c r="D619" s="4" t="s">
        <v>16</v>
      </c>
      <c r="E619" s="4" t="s">
        <v>18</v>
      </c>
      <c r="F619" s="4" t="s">
        <v>18</v>
      </c>
      <c r="G619" s="5">
        <v>77543</v>
      </c>
      <c r="H619" s="5">
        <v>446659</v>
      </c>
      <c r="I619" s="4">
        <v>182</v>
      </c>
      <c r="J619" s="4">
        <v>0.97</v>
      </c>
      <c r="K619" s="4">
        <v>6.29</v>
      </c>
      <c r="L619" s="4">
        <v>1.2</v>
      </c>
      <c r="M619" s="4">
        <v>7</v>
      </c>
      <c r="N619" s="4">
        <v>797</v>
      </c>
      <c r="O619" s="4" t="str">
        <f t="shared" si="18"/>
        <v>EMI</v>
      </c>
      <c r="P619" s="5">
        <f t="shared" si="19"/>
        <v>78473.516000000003</v>
      </c>
    </row>
    <row r="620" spans="1:16" x14ac:dyDescent="0.25">
      <c r="A620" s="4">
        <v>2023</v>
      </c>
      <c r="B620" s="4">
        <v>11</v>
      </c>
      <c r="C620" s="12" t="s">
        <v>26</v>
      </c>
      <c r="D620" s="4" t="s">
        <v>16</v>
      </c>
      <c r="E620" s="4" t="s">
        <v>18</v>
      </c>
      <c r="F620" s="4" t="s">
        <v>15</v>
      </c>
      <c r="G620" s="5">
        <v>49559</v>
      </c>
      <c r="H620" s="5">
        <v>333539</v>
      </c>
      <c r="I620" s="4">
        <v>217</v>
      </c>
      <c r="J620" s="4">
        <v>0.97</v>
      </c>
      <c r="K620" s="4">
        <v>6.29</v>
      </c>
      <c r="L620" s="4">
        <v>1.2</v>
      </c>
      <c r="M620" s="4">
        <v>10</v>
      </c>
      <c r="N620" s="4">
        <v>668</v>
      </c>
      <c r="O620" s="4" t="str">
        <f t="shared" si="18"/>
        <v>EMI</v>
      </c>
      <c r="P620" s="5">
        <f t="shared" si="19"/>
        <v>50153.707999999999</v>
      </c>
    </row>
    <row r="621" spans="1:16" x14ac:dyDescent="0.25">
      <c r="A621" s="4">
        <v>2018</v>
      </c>
      <c r="B621" s="4">
        <v>3</v>
      </c>
      <c r="C621" s="12" t="s">
        <v>12</v>
      </c>
      <c r="D621" s="4" t="s">
        <v>24</v>
      </c>
      <c r="E621" s="4" t="s">
        <v>14</v>
      </c>
      <c r="F621" s="4" t="s">
        <v>15</v>
      </c>
      <c r="G621" s="5">
        <v>68139</v>
      </c>
      <c r="H621" s="5">
        <v>322869</v>
      </c>
      <c r="I621" s="4">
        <v>33</v>
      </c>
      <c r="J621" s="4">
        <v>0.97</v>
      </c>
      <c r="K621" s="4">
        <v>6.29</v>
      </c>
      <c r="L621" s="4">
        <v>1.2</v>
      </c>
      <c r="M621" s="4">
        <v>3</v>
      </c>
      <c r="N621" s="4">
        <v>459</v>
      </c>
      <c r="O621" s="4" t="str">
        <f t="shared" si="18"/>
        <v>EMI</v>
      </c>
      <c r="P621" s="5">
        <f t="shared" si="19"/>
        <v>68956.668000000005</v>
      </c>
    </row>
    <row r="622" spans="1:16" x14ac:dyDescent="0.25">
      <c r="A622" s="4">
        <v>2020</v>
      </c>
      <c r="B622" s="4">
        <v>4</v>
      </c>
      <c r="C622" s="12" t="s">
        <v>12</v>
      </c>
      <c r="D622" s="4" t="s">
        <v>13</v>
      </c>
      <c r="E622" s="4" t="s">
        <v>18</v>
      </c>
      <c r="F622" s="4" t="s">
        <v>15</v>
      </c>
      <c r="G622" s="5">
        <v>43802</v>
      </c>
      <c r="H622" s="5">
        <v>83461</v>
      </c>
      <c r="I622" s="4">
        <v>108</v>
      </c>
      <c r="J622" s="4">
        <v>0.97</v>
      </c>
      <c r="K622" s="4">
        <v>6.29</v>
      </c>
      <c r="L622" s="4">
        <v>1.2</v>
      </c>
      <c r="M622" s="4">
        <v>4</v>
      </c>
      <c r="N622" s="4">
        <v>637</v>
      </c>
      <c r="O622" s="4" t="str">
        <f t="shared" si="18"/>
        <v>EMI</v>
      </c>
      <c r="P622" s="5">
        <f t="shared" si="19"/>
        <v>44327.624000000003</v>
      </c>
    </row>
    <row r="623" spans="1:16" x14ac:dyDescent="0.25">
      <c r="A623" s="4">
        <v>2015</v>
      </c>
      <c r="B623" s="4">
        <v>12</v>
      </c>
      <c r="C623" s="12" t="s">
        <v>34</v>
      </c>
      <c r="D623" s="4" t="s">
        <v>16</v>
      </c>
      <c r="E623" s="4" t="s">
        <v>18</v>
      </c>
      <c r="F623" s="4" t="s">
        <v>21</v>
      </c>
      <c r="G623" s="5">
        <v>108843</v>
      </c>
      <c r="H623" s="5">
        <v>308072</v>
      </c>
      <c r="I623" s="4">
        <v>365</v>
      </c>
      <c r="J623" s="4">
        <v>0.97</v>
      </c>
      <c r="K623" s="4">
        <v>6.29</v>
      </c>
      <c r="L623" s="4">
        <v>1.2</v>
      </c>
      <c r="M623" s="4">
        <v>10</v>
      </c>
      <c r="N623" s="4">
        <v>822</v>
      </c>
      <c r="O623" s="4" t="str">
        <f t="shared" si="18"/>
        <v>EMI</v>
      </c>
      <c r="P623" s="5">
        <f t="shared" si="19"/>
        <v>110149.11599999999</v>
      </c>
    </row>
    <row r="624" spans="1:16" x14ac:dyDescent="0.25">
      <c r="A624" s="4">
        <v>2023</v>
      </c>
      <c r="B624" s="4">
        <v>7</v>
      </c>
      <c r="C624" s="12" t="s">
        <v>34</v>
      </c>
      <c r="D624" s="4" t="s">
        <v>31</v>
      </c>
      <c r="E624" s="4" t="s">
        <v>17</v>
      </c>
      <c r="F624" s="4" t="s">
        <v>21</v>
      </c>
      <c r="G624" s="5">
        <v>75205</v>
      </c>
      <c r="H624" s="5">
        <v>91115</v>
      </c>
      <c r="I624" s="4">
        <v>148</v>
      </c>
      <c r="J624" s="4">
        <v>0.97</v>
      </c>
      <c r="K624" s="4">
        <v>6.29</v>
      </c>
      <c r="L624" s="4">
        <v>1.2</v>
      </c>
      <c r="M624" s="4">
        <v>10</v>
      </c>
      <c r="N624" s="4">
        <v>309</v>
      </c>
      <c r="O624" s="4" t="str">
        <f t="shared" si="18"/>
        <v>EMI</v>
      </c>
      <c r="P624" s="5">
        <f t="shared" si="19"/>
        <v>76107.460000000006</v>
      </c>
    </row>
    <row r="625" spans="1:16" x14ac:dyDescent="0.25">
      <c r="A625" s="4">
        <v>2015</v>
      </c>
      <c r="B625" s="4">
        <v>11</v>
      </c>
      <c r="C625" s="12" t="s">
        <v>28</v>
      </c>
      <c r="D625" s="4" t="s">
        <v>22</v>
      </c>
      <c r="E625" s="4" t="s">
        <v>17</v>
      </c>
      <c r="F625" s="4" t="s">
        <v>18</v>
      </c>
      <c r="G625" s="5">
        <v>69159</v>
      </c>
      <c r="H625" s="5">
        <v>160084</v>
      </c>
      <c r="I625" s="4">
        <v>323</v>
      </c>
      <c r="J625" s="4">
        <v>0.97</v>
      </c>
      <c r="K625" s="4">
        <v>6.29</v>
      </c>
      <c r="L625" s="4">
        <v>1.2</v>
      </c>
      <c r="M625" s="4">
        <v>10</v>
      </c>
      <c r="N625" s="4">
        <v>994</v>
      </c>
      <c r="O625" s="4" t="str">
        <f t="shared" si="18"/>
        <v>EMI</v>
      </c>
      <c r="P625" s="5">
        <f t="shared" si="19"/>
        <v>69988.907999999996</v>
      </c>
    </row>
    <row r="626" spans="1:16" x14ac:dyDescent="0.25">
      <c r="A626" s="4">
        <v>2019</v>
      </c>
      <c r="B626" s="4">
        <v>1</v>
      </c>
      <c r="C626" s="12" t="s">
        <v>28</v>
      </c>
      <c r="D626" s="4" t="s">
        <v>20</v>
      </c>
      <c r="E626" s="4" t="s">
        <v>17</v>
      </c>
      <c r="F626" s="4" t="s">
        <v>21</v>
      </c>
      <c r="G626" s="5">
        <v>46516</v>
      </c>
      <c r="H626" s="5">
        <v>395876</v>
      </c>
      <c r="I626" s="4">
        <v>183</v>
      </c>
      <c r="J626" s="4">
        <v>0.97</v>
      </c>
      <c r="K626" s="4">
        <v>6.29</v>
      </c>
      <c r="L626" s="4">
        <v>1.2</v>
      </c>
      <c r="M626" s="4">
        <v>10</v>
      </c>
      <c r="N626" s="4">
        <v>496</v>
      </c>
      <c r="O626" s="4" t="str">
        <f t="shared" si="18"/>
        <v>EMI</v>
      </c>
      <c r="P626" s="5">
        <f t="shared" si="19"/>
        <v>47074.192000000003</v>
      </c>
    </row>
    <row r="627" spans="1:16" x14ac:dyDescent="0.25">
      <c r="A627" s="4">
        <v>2018</v>
      </c>
      <c r="B627" s="4">
        <v>6</v>
      </c>
      <c r="C627" s="12" t="s">
        <v>19</v>
      </c>
      <c r="D627" s="4" t="s">
        <v>20</v>
      </c>
      <c r="E627" s="4" t="s">
        <v>14</v>
      </c>
      <c r="F627" s="4" t="s">
        <v>25</v>
      </c>
      <c r="G627" s="5">
        <v>85492</v>
      </c>
      <c r="H627" s="5">
        <v>391701</v>
      </c>
      <c r="I627" s="4">
        <v>38</v>
      </c>
      <c r="J627" s="4">
        <v>0.97</v>
      </c>
      <c r="K627" s="4">
        <v>6.29</v>
      </c>
      <c r="L627" s="4">
        <v>1.2</v>
      </c>
      <c r="M627" s="4">
        <v>10</v>
      </c>
      <c r="N627" s="4">
        <v>354</v>
      </c>
      <c r="O627" s="4" t="str">
        <f t="shared" si="18"/>
        <v>EMI</v>
      </c>
      <c r="P627" s="5">
        <f t="shared" si="19"/>
        <v>86517.903999999995</v>
      </c>
    </row>
    <row r="628" spans="1:16" x14ac:dyDescent="0.25">
      <c r="A628" s="4">
        <v>2017</v>
      </c>
      <c r="B628" s="4">
        <v>3</v>
      </c>
      <c r="C628" s="12" t="s">
        <v>28</v>
      </c>
      <c r="D628" s="4" t="s">
        <v>27</v>
      </c>
      <c r="E628" s="4" t="s">
        <v>18</v>
      </c>
      <c r="F628" s="4" t="s">
        <v>18</v>
      </c>
      <c r="G628" s="5">
        <v>64086</v>
      </c>
      <c r="H628" s="5">
        <v>383404</v>
      </c>
      <c r="I628" s="4">
        <v>152</v>
      </c>
      <c r="J628" s="4">
        <v>0.97</v>
      </c>
      <c r="K628" s="4">
        <v>6.29</v>
      </c>
      <c r="L628" s="4">
        <v>1.2</v>
      </c>
      <c r="M628" s="4">
        <v>3</v>
      </c>
      <c r="N628" s="4">
        <v>381</v>
      </c>
      <c r="O628" s="4" t="str">
        <f t="shared" si="18"/>
        <v>EMI</v>
      </c>
      <c r="P628" s="5">
        <f t="shared" si="19"/>
        <v>64855.031999999999</v>
      </c>
    </row>
    <row r="629" spans="1:16" x14ac:dyDescent="0.25">
      <c r="A629" s="4">
        <v>2020</v>
      </c>
      <c r="B629" s="4">
        <v>11</v>
      </c>
      <c r="C629" s="12" t="s">
        <v>35</v>
      </c>
      <c r="D629" s="4" t="s">
        <v>37</v>
      </c>
      <c r="E629" s="4" t="s">
        <v>17</v>
      </c>
      <c r="F629" s="4" t="s">
        <v>21</v>
      </c>
      <c r="G629" s="5">
        <v>65480</v>
      </c>
      <c r="H629" s="5">
        <v>209762</v>
      </c>
      <c r="I629" s="4">
        <v>325</v>
      </c>
      <c r="J629" s="4">
        <v>0.97</v>
      </c>
      <c r="K629" s="4">
        <v>6.29</v>
      </c>
      <c r="L629" s="4">
        <v>1.2</v>
      </c>
      <c r="M629" s="4">
        <v>1</v>
      </c>
      <c r="N629" s="4">
        <v>984</v>
      </c>
      <c r="O629" s="4" t="str">
        <f t="shared" si="18"/>
        <v>Full</v>
      </c>
      <c r="P629" s="5">
        <f t="shared" si="19"/>
        <v>65480</v>
      </c>
    </row>
    <row r="630" spans="1:16" x14ac:dyDescent="0.25">
      <c r="A630" s="4">
        <v>2016</v>
      </c>
      <c r="B630" s="4">
        <v>10</v>
      </c>
      <c r="C630" s="12" t="s">
        <v>12</v>
      </c>
      <c r="D630" s="4" t="s">
        <v>13</v>
      </c>
      <c r="E630" s="4" t="s">
        <v>17</v>
      </c>
      <c r="F630" s="4" t="s">
        <v>15</v>
      </c>
      <c r="G630" s="5">
        <v>87091</v>
      </c>
      <c r="H630" s="5">
        <v>313551</v>
      </c>
      <c r="I630" s="4">
        <v>360</v>
      </c>
      <c r="J630" s="4">
        <v>0.97</v>
      </c>
      <c r="K630" s="4">
        <v>6.29</v>
      </c>
      <c r="L630" s="4">
        <v>1.2</v>
      </c>
      <c r="M630" s="4">
        <v>8</v>
      </c>
      <c r="N630" s="4">
        <v>829</v>
      </c>
      <c r="O630" s="4" t="str">
        <f t="shared" si="18"/>
        <v>EMI</v>
      </c>
      <c r="P630" s="5">
        <f t="shared" si="19"/>
        <v>88136.092000000004</v>
      </c>
    </row>
    <row r="631" spans="1:16" x14ac:dyDescent="0.25">
      <c r="A631" s="4">
        <v>2017</v>
      </c>
      <c r="B631" s="4">
        <v>7</v>
      </c>
      <c r="C631" s="12" t="s">
        <v>33</v>
      </c>
      <c r="D631" s="4" t="s">
        <v>37</v>
      </c>
      <c r="E631" s="4" t="s">
        <v>17</v>
      </c>
      <c r="F631" s="4" t="s">
        <v>25</v>
      </c>
      <c r="G631" s="5">
        <v>82766</v>
      </c>
      <c r="H631" s="5">
        <v>123568</v>
      </c>
      <c r="I631" s="4">
        <v>51</v>
      </c>
      <c r="J631" s="4">
        <v>0.97</v>
      </c>
      <c r="K631" s="4">
        <v>6.29</v>
      </c>
      <c r="L631" s="4">
        <v>1.2</v>
      </c>
      <c r="M631" s="4">
        <v>10</v>
      </c>
      <c r="N631" s="4">
        <v>106</v>
      </c>
      <c r="O631" s="4" t="str">
        <f t="shared" si="18"/>
        <v>EMI</v>
      </c>
      <c r="P631" s="5">
        <f t="shared" si="19"/>
        <v>83759.191999999995</v>
      </c>
    </row>
    <row r="632" spans="1:16" x14ac:dyDescent="0.25">
      <c r="A632" s="4">
        <v>2019</v>
      </c>
      <c r="B632" s="4">
        <v>10</v>
      </c>
      <c r="C632" s="12" t="s">
        <v>35</v>
      </c>
      <c r="D632" s="4" t="s">
        <v>16</v>
      </c>
      <c r="E632" s="4" t="s">
        <v>18</v>
      </c>
      <c r="F632" s="4" t="s">
        <v>15</v>
      </c>
      <c r="G632" s="5">
        <v>73737</v>
      </c>
      <c r="H632" s="5">
        <v>108560</v>
      </c>
      <c r="I632" s="4">
        <v>308</v>
      </c>
      <c r="J632" s="4">
        <v>0.97</v>
      </c>
      <c r="K632" s="4">
        <v>6.29</v>
      </c>
      <c r="L632" s="4">
        <v>1.2</v>
      </c>
      <c r="M632" s="4">
        <v>10</v>
      </c>
      <c r="N632" s="4">
        <v>720</v>
      </c>
      <c r="O632" s="4" t="str">
        <f t="shared" si="18"/>
        <v>EMI</v>
      </c>
      <c r="P632" s="5">
        <f t="shared" si="19"/>
        <v>74621.843999999997</v>
      </c>
    </row>
    <row r="633" spans="1:16" x14ac:dyDescent="0.25">
      <c r="A633" s="4">
        <v>2023</v>
      </c>
      <c r="B633" s="4">
        <v>2</v>
      </c>
      <c r="C633" s="12" t="s">
        <v>30</v>
      </c>
      <c r="D633" s="4" t="s">
        <v>22</v>
      </c>
      <c r="E633" s="4" t="s">
        <v>18</v>
      </c>
      <c r="F633" s="4" t="s">
        <v>18</v>
      </c>
      <c r="G633" s="5">
        <v>44265</v>
      </c>
      <c r="H633" s="5">
        <v>490556</v>
      </c>
      <c r="I633" s="4">
        <v>217</v>
      </c>
      <c r="J633" s="4">
        <v>0.97</v>
      </c>
      <c r="K633" s="4">
        <v>6.29</v>
      </c>
      <c r="L633" s="4">
        <v>1.2</v>
      </c>
      <c r="M633" s="4">
        <v>2</v>
      </c>
      <c r="N633" s="4">
        <v>835</v>
      </c>
      <c r="O633" s="4" t="str">
        <f t="shared" si="18"/>
        <v>Discount</v>
      </c>
      <c r="P633" s="5">
        <f t="shared" si="19"/>
        <v>39838.5</v>
      </c>
    </row>
    <row r="634" spans="1:16" x14ac:dyDescent="0.25">
      <c r="A634" s="4">
        <v>2016</v>
      </c>
      <c r="B634" s="4">
        <v>2</v>
      </c>
      <c r="C634" s="12" t="s">
        <v>26</v>
      </c>
      <c r="D634" s="4" t="s">
        <v>27</v>
      </c>
      <c r="E634" s="4" t="s">
        <v>18</v>
      </c>
      <c r="F634" s="4" t="s">
        <v>15</v>
      </c>
      <c r="G634" s="5">
        <v>105990</v>
      </c>
      <c r="H634" s="5">
        <v>198866</v>
      </c>
      <c r="I634" s="4">
        <v>339</v>
      </c>
      <c r="J634" s="4">
        <v>0.97</v>
      </c>
      <c r="K634" s="4">
        <v>6.29</v>
      </c>
      <c r="L634" s="4">
        <v>1.2</v>
      </c>
      <c r="M634" s="4">
        <v>1</v>
      </c>
      <c r="N634" s="4">
        <v>1024</v>
      </c>
      <c r="O634" s="4" t="str">
        <f t="shared" si="18"/>
        <v>Full</v>
      </c>
      <c r="P634" s="5">
        <f t="shared" si="19"/>
        <v>105990</v>
      </c>
    </row>
    <row r="635" spans="1:16" x14ac:dyDescent="0.25">
      <c r="A635" s="4">
        <v>2024</v>
      </c>
      <c r="B635" s="4">
        <v>4</v>
      </c>
      <c r="C635" s="12" t="s">
        <v>28</v>
      </c>
      <c r="D635" s="4" t="s">
        <v>32</v>
      </c>
      <c r="E635" s="4" t="s">
        <v>14</v>
      </c>
      <c r="F635" s="4" t="s">
        <v>21</v>
      </c>
      <c r="G635" s="5">
        <v>50386</v>
      </c>
      <c r="H635" s="5">
        <v>200953</v>
      </c>
      <c r="I635" s="4">
        <v>201</v>
      </c>
      <c r="J635" s="4">
        <v>0.97</v>
      </c>
      <c r="K635" s="4">
        <v>6.29</v>
      </c>
      <c r="L635" s="4">
        <v>1.2</v>
      </c>
      <c r="M635" s="4">
        <v>8</v>
      </c>
      <c r="N635" s="4">
        <v>815</v>
      </c>
      <c r="O635" s="4" t="str">
        <f t="shared" si="18"/>
        <v>EMI</v>
      </c>
      <c r="P635" s="5">
        <f t="shared" si="19"/>
        <v>50990.631999999998</v>
      </c>
    </row>
    <row r="636" spans="1:16" x14ac:dyDescent="0.25">
      <c r="A636" s="4">
        <v>2022</v>
      </c>
      <c r="B636" s="4">
        <v>1</v>
      </c>
      <c r="C636" s="12" t="s">
        <v>26</v>
      </c>
      <c r="D636" s="4" t="s">
        <v>16</v>
      </c>
      <c r="E636" s="4" t="s">
        <v>14</v>
      </c>
      <c r="F636" s="4" t="s">
        <v>21</v>
      </c>
      <c r="G636" s="5">
        <v>72425</v>
      </c>
      <c r="H636" s="5">
        <v>267364</v>
      </c>
      <c r="I636" s="4">
        <v>169</v>
      </c>
      <c r="J636" s="4">
        <v>0.97</v>
      </c>
      <c r="K636" s="4">
        <v>6.29</v>
      </c>
      <c r="L636" s="4">
        <v>1.2</v>
      </c>
      <c r="M636" s="4">
        <v>7</v>
      </c>
      <c r="N636" s="4">
        <v>719</v>
      </c>
      <c r="O636" s="4" t="str">
        <f t="shared" si="18"/>
        <v>EMI</v>
      </c>
      <c r="P636" s="5">
        <f t="shared" si="19"/>
        <v>73294.100000000006</v>
      </c>
    </row>
    <row r="637" spans="1:16" x14ac:dyDescent="0.25">
      <c r="A637" s="4">
        <v>2016</v>
      </c>
      <c r="B637" s="4">
        <v>3</v>
      </c>
      <c r="C637" s="12" t="s">
        <v>36</v>
      </c>
      <c r="D637" s="4" t="s">
        <v>13</v>
      </c>
      <c r="E637" s="4" t="s">
        <v>17</v>
      </c>
      <c r="F637" s="4" t="s">
        <v>18</v>
      </c>
      <c r="G637" s="5">
        <v>78254</v>
      </c>
      <c r="H637" s="5">
        <v>286770</v>
      </c>
      <c r="I637" s="4">
        <v>73</v>
      </c>
      <c r="J637" s="4">
        <v>0.97</v>
      </c>
      <c r="K637" s="4">
        <v>6.29</v>
      </c>
      <c r="L637" s="4">
        <v>1.2</v>
      </c>
      <c r="M637" s="4">
        <v>7</v>
      </c>
      <c r="N637" s="4">
        <v>377</v>
      </c>
      <c r="O637" s="4" t="str">
        <f t="shared" si="18"/>
        <v>EMI</v>
      </c>
      <c r="P637" s="5">
        <f t="shared" si="19"/>
        <v>79193.047999999995</v>
      </c>
    </row>
    <row r="638" spans="1:16" x14ac:dyDescent="0.25">
      <c r="A638" s="4">
        <v>2019</v>
      </c>
      <c r="B638" s="4">
        <v>9</v>
      </c>
      <c r="C638" s="12" t="s">
        <v>19</v>
      </c>
      <c r="D638" s="4" t="s">
        <v>20</v>
      </c>
      <c r="E638" s="4" t="s">
        <v>18</v>
      </c>
      <c r="F638" s="4" t="s">
        <v>15</v>
      </c>
      <c r="G638" s="5">
        <v>88634</v>
      </c>
      <c r="H638" s="5">
        <v>276024</v>
      </c>
      <c r="I638" s="4">
        <v>252</v>
      </c>
      <c r="J638" s="4">
        <v>0.97</v>
      </c>
      <c r="K638" s="4">
        <v>6.29</v>
      </c>
      <c r="L638" s="4">
        <v>1.2</v>
      </c>
      <c r="M638" s="4">
        <v>4</v>
      </c>
      <c r="N638" s="4">
        <v>663</v>
      </c>
      <c r="O638" s="4" t="str">
        <f t="shared" si="18"/>
        <v>EMI</v>
      </c>
      <c r="P638" s="5">
        <f t="shared" si="19"/>
        <v>89697.608000000007</v>
      </c>
    </row>
    <row r="639" spans="1:16" x14ac:dyDescent="0.25">
      <c r="A639" s="4">
        <v>2021</v>
      </c>
      <c r="B639" s="4">
        <v>7</v>
      </c>
      <c r="C639" s="12" t="s">
        <v>36</v>
      </c>
      <c r="D639" s="4" t="s">
        <v>24</v>
      </c>
      <c r="E639" s="4" t="s">
        <v>17</v>
      </c>
      <c r="F639" s="4" t="s">
        <v>18</v>
      </c>
      <c r="G639" s="5">
        <v>82662</v>
      </c>
      <c r="H639" s="5">
        <v>230775</v>
      </c>
      <c r="I639" s="4">
        <v>267</v>
      </c>
      <c r="J639" s="4">
        <v>0.97</v>
      </c>
      <c r="K639" s="4">
        <v>6.29</v>
      </c>
      <c r="L639" s="4">
        <v>1.2</v>
      </c>
      <c r="M639" s="4">
        <v>9</v>
      </c>
      <c r="N639" s="4">
        <v>641</v>
      </c>
      <c r="O639" s="4" t="str">
        <f t="shared" si="18"/>
        <v>EMI</v>
      </c>
      <c r="P639" s="5">
        <f t="shared" si="19"/>
        <v>83653.944000000003</v>
      </c>
    </row>
    <row r="640" spans="1:16" x14ac:dyDescent="0.25">
      <c r="A640" s="4">
        <v>2022</v>
      </c>
      <c r="B640" s="4">
        <v>7</v>
      </c>
      <c r="C640" s="12" t="s">
        <v>19</v>
      </c>
      <c r="D640" s="4" t="s">
        <v>22</v>
      </c>
      <c r="E640" s="4" t="s">
        <v>18</v>
      </c>
      <c r="F640" s="4" t="s">
        <v>15</v>
      </c>
      <c r="G640" s="5">
        <v>110452</v>
      </c>
      <c r="H640" s="5">
        <v>487570</v>
      </c>
      <c r="I640" s="4">
        <v>161</v>
      </c>
      <c r="J640" s="4">
        <v>0.97</v>
      </c>
      <c r="K640" s="4">
        <v>6.29</v>
      </c>
      <c r="L640" s="4">
        <v>1.2</v>
      </c>
      <c r="M640" s="4">
        <v>6</v>
      </c>
      <c r="N640" s="4">
        <v>415</v>
      </c>
      <c r="O640" s="4" t="str">
        <f t="shared" si="18"/>
        <v>EMI</v>
      </c>
      <c r="P640" s="5">
        <f t="shared" si="19"/>
        <v>111777.424</v>
      </c>
    </row>
    <row r="641" spans="1:16" x14ac:dyDescent="0.25">
      <c r="A641" s="4">
        <v>2015</v>
      </c>
      <c r="B641" s="4">
        <v>11</v>
      </c>
      <c r="C641" s="12" t="s">
        <v>34</v>
      </c>
      <c r="D641" s="4" t="s">
        <v>29</v>
      </c>
      <c r="E641" s="4" t="s">
        <v>18</v>
      </c>
      <c r="F641" s="4" t="s">
        <v>25</v>
      </c>
      <c r="G641" s="5">
        <v>45143</v>
      </c>
      <c r="H641" s="5">
        <v>141288</v>
      </c>
      <c r="I641" s="4">
        <v>224</v>
      </c>
      <c r="J641" s="4">
        <v>0.97</v>
      </c>
      <c r="K641" s="4">
        <v>6.29</v>
      </c>
      <c r="L641" s="4">
        <v>1.2</v>
      </c>
      <c r="M641" s="4">
        <v>2</v>
      </c>
      <c r="N641" s="4">
        <v>651</v>
      </c>
      <c r="O641" s="4" t="str">
        <f t="shared" si="18"/>
        <v>Full</v>
      </c>
      <c r="P641" s="5">
        <f t="shared" si="19"/>
        <v>45143</v>
      </c>
    </row>
    <row r="642" spans="1:16" x14ac:dyDescent="0.25">
      <c r="A642" s="4">
        <v>2020</v>
      </c>
      <c r="B642" s="4">
        <v>4</v>
      </c>
      <c r="C642" s="12" t="s">
        <v>26</v>
      </c>
      <c r="D642" s="4" t="s">
        <v>37</v>
      </c>
      <c r="E642" s="4" t="s">
        <v>18</v>
      </c>
      <c r="F642" s="4" t="s">
        <v>21</v>
      </c>
      <c r="G642" s="5">
        <v>50581</v>
      </c>
      <c r="H642" s="5">
        <v>431164</v>
      </c>
      <c r="I642" s="4">
        <v>331</v>
      </c>
      <c r="J642" s="4">
        <v>0.97</v>
      </c>
      <c r="K642" s="4">
        <v>6.29</v>
      </c>
      <c r="L642" s="4">
        <v>1.2</v>
      </c>
      <c r="M642" s="4">
        <v>1</v>
      </c>
      <c r="N642" s="4">
        <v>877</v>
      </c>
      <c r="O642" s="4" t="str">
        <f t="shared" ref="O642:O705" si="20">IF(M642&gt;2,"EMI",IF(H642&gt;300000,"Discount","Full"))</f>
        <v>Discount</v>
      </c>
      <c r="P642" s="5">
        <f t="shared" ref="P642:P705" si="21">IF(O642="EMI", G642*(1+L642/100), IF(O642="Full", G642, G642*0.9))</f>
        <v>45522.9</v>
      </c>
    </row>
    <row r="643" spans="1:16" x14ac:dyDescent="0.25">
      <c r="A643" s="4">
        <v>2015</v>
      </c>
      <c r="B643" s="4">
        <v>2</v>
      </c>
      <c r="C643" s="12" t="s">
        <v>19</v>
      </c>
      <c r="D643" s="4" t="s">
        <v>27</v>
      </c>
      <c r="E643" s="4" t="s">
        <v>14</v>
      </c>
      <c r="F643" s="4" t="s">
        <v>18</v>
      </c>
      <c r="G643" s="5">
        <v>102443</v>
      </c>
      <c r="H643" s="5">
        <v>411445</v>
      </c>
      <c r="I643" s="4">
        <v>175</v>
      </c>
      <c r="J643" s="4">
        <v>0.97</v>
      </c>
      <c r="K643" s="4">
        <v>6.29</v>
      </c>
      <c r="L643" s="4">
        <v>1.2</v>
      </c>
      <c r="M643" s="4">
        <v>1</v>
      </c>
      <c r="N643" s="4">
        <v>533</v>
      </c>
      <c r="O643" s="4" t="str">
        <f t="shared" si="20"/>
        <v>Discount</v>
      </c>
      <c r="P643" s="5">
        <f t="shared" si="21"/>
        <v>92198.7</v>
      </c>
    </row>
    <row r="644" spans="1:16" x14ac:dyDescent="0.25">
      <c r="A644" s="4">
        <v>2016</v>
      </c>
      <c r="B644" s="4">
        <v>4</v>
      </c>
      <c r="C644" s="12" t="s">
        <v>23</v>
      </c>
      <c r="D644" s="4" t="s">
        <v>37</v>
      </c>
      <c r="E644" s="4" t="s">
        <v>14</v>
      </c>
      <c r="F644" s="4" t="s">
        <v>25</v>
      </c>
      <c r="G644" s="5">
        <v>64424</v>
      </c>
      <c r="H644" s="5">
        <v>299836</v>
      </c>
      <c r="I644" s="4">
        <v>40</v>
      </c>
      <c r="J644" s="4">
        <v>0.97</v>
      </c>
      <c r="K644" s="4">
        <v>6.29</v>
      </c>
      <c r="L644" s="4">
        <v>1.2</v>
      </c>
      <c r="M644" s="4">
        <v>9</v>
      </c>
      <c r="N644" s="4">
        <v>456</v>
      </c>
      <c r="O644" s="4" t="str">
        <f t="shared" si="20"/>
        <v>EMI</v>
      </c>
      <c r="P644" s="5">
        <f t="shared" si="21"/>
        <v>65197.088000000003</v>
      </c>
    </row>
    <row r="645" spans="1:16" x14ac:dyDescent="0.25">
      <c r="A645" s="4">
        <v>2015</v>
      </c>
      <c r="B645" s="4">
        <v>6</v>
      </c>
      <c r="C645" s="12" t="s">
        <v>35</v>
      </c>
      <c r="D645" s="4" t="s">
        <v>22</v>
      </c>
      <c r="E645" s="4" t="s">
        <v>18</v>
      </c>
      <c r="F645" s="4" t="s">
        <v>25</v>
      </c>
      <c r="G645" s="5">
        <v>76984</v>
      </c>
      <c r="H645" s="5">
        <v>64390</v>
      </c>
      <c r="I645" s="4">
        <v>380</v>
      </c>
      <c r="J645" s="4">
        <v>0.97</v>
      </c>
      <c r="K645" s="4">
        <v>6.29</v>
      </c>
      <c r="L645" s="4">
        <v>1.2</v>
      </c>
      <c r="M645" s="4">
        <v>4</v>
      </c>
      <c r="N645" s="4">
        <v>814</v>
      </c>
      <c r="O645" s="4" t="str">
        <f t="shared" si="20"/>
        <v>EMI</v>
      </c>
      <c r="P645" s="5">
        <f t="shared" si="21"/>
        <v>77907.808000000005</v>
      </c>
    </row>
    <row r="646" spans="1:16" x14ac:dyDescent="0.25">
      <c r="A646" s="4">
        <v>2019</v>
      </c>
      <c r="B646" s="4">
        <v>11</v>
      </c>
      <c r="C646" s="12" t="s">
        <v>19</v>
      </c>
      <c r="D646" s="4" t="s">
        <v>37</v>
      </c>
      <c r="E646" s="4" t="s">
        <v>17</v>
      </c>
      <c r="F646" s="4" t="s">
        <v>18</v>
      </c>
      <c r="G646" s="5">
        <v>76505</v>
      </c>
      <c r="H646" s="5">
        <v>268547</v>
      </c>
      <c r="I646" s="4">
        <v>241</v>
      </c>
      <c r="J646" s="4">
        <v>0.97</v>
      </c>
      <c r="K646" s="4">
        <v>6.29</v>
      </c>
      <c r="L646" s="4">
        <v>1.2</v>
      </c>
      <c r="M646" s="4">
        <v>5</v>
      </c>
      <c r="N646" s="4">
        <v>557</v>
      </c>
      <c r="O646" s="4" t="str">
        <f t="shared" si="20"/>
        <v>EMI</v>
      </c>
      <c r="P646" s="5">
        <f t="shared" si="21"/>
        <v>77423.06</v>
      </c>
    </row>
    <row r="647" spans="1:16" x14ac:dyDescent="0.25">
      <c r="A647" s="4">
        <v>2024</v>
      </c>
      <c r="B647" s="4">
        <v>11</v>
      </c>
      <c r="C647" s="12" t="s">
        <v>19</v>
      </c>
      <c r="D647" s="4" t="s">
        <v>22</v>
      </c>
      <c r="E647" s="4" t="s">
        <v>18</v>
      </c>
      <c r="F647" s="4" t="s">
        <v>18</v>
      </c>
      <c r="G647" s="5">
        <v>97699</v>
      </c>
      <c r="H647" s="5">
        <v>77307</v>
      </c>
      <c r="I647" s="4">
        <v>291</v>
      </c>
      <c r="J647" s="4">
        <v>0.97</v>
      </c>
      <c r="K647" s="4">
        <v>6.29</v>
      </c>
      <c r="L647" s="4">
        <v>1.2</v>
      </c>
      <c r="M647" s="4">
        <v>3</v>
      </c>
      <c r="N647" s="4">
        <v>730</v>
      </c>
      <c r="O647" s="4" t="str">
        <f t="shared" si="20"/>
        <v>EMI</v>
      </c>
      <c r="P647" s="5">
        <f t="shared" si="21"/>
        <v>98871.388000000006</v>
      </c>
    </row>
    <row r="648" spans="1:16" x14ac:dyDescent="0.25">
      <c r="A648" s="4">
        <v>2023</v>
      </c>
      <c r="B648" s="4">
        <v>3</v>
      </c>
      <c r="C648" s="12" t="s">
        <v>35</v>
      </c>
      <c r="D648" s="4" t="s">
        <v>37</v>
      </c>
      <c r="E648" s="4" t="s">
        <v>18</v>
      </c>
      <c r="F648" s="4" t="s">
        <v>25</v>
      </c>
      <c r="G648" s="5">
        <v>61957</v>
      </c>
      <c r="H648" s="5">
        <v>277436</v>
      </c>
      <c r="I648" s="4">
        <v>38</v>
      </c>
      <c r="J648" s="4">
        <v>0.97</v>
      </c>
      <c r="K648" s="4">
        <v>6.29</v>
      </c>
      <c r="L648" s="4">
        <v>1.2</v>
      </c>
      <c r="M648" s="4">
        <v>4</v>
      </c>
      <c r="N648" s="4">
        <v>550</v>
      </c>
      <c r="O648" s="4" t="str">
        <f t="shared" si="20"/>
        <v>EMI</v>
      </c>
      <c r="P648" s="5">
        <f t="shared" si="21"/>
        <v>62700.484000000004</v>
      </c>
    </row>
    <row r="649" spans="1:16" x14ac:dyDescent="0.25">
      <c r="A649" s="4">
        <v>2020</v>
      </c>
      <c r="B649" s="4">
        <v>1</v>
      </c>
      <c r="C649" s="12" t="s">
        <v>26</v>
      </c>
      <c r="D649" s="4" t="s">
        <v>31</v>
      </c>
      <c r="E649" s="4" t="s">
        <v>17</v>
      </c>
      <c r="F649" s="4" t="s">
        <v>15</v>
      </c>
      <c r="G649" s="5">
        <v>60464</v>
      </c>
      <c r="H649" s="5">
        <v>275121</v>
      </c>
      <c r="I649" s="4">
        <v>204</v>
      </c>
      <c r="J649" s="4">
        <v>0.97</v>
      </c>
      <c r="K649" s="4">
        <v>6.29</v>
      </c>
      <c r="L649" s="4">
        <v>1.2</v>
      </c>
      <c r="M649" s="4">
        <v>8</v>
      </c>
      <c r="N649" s="4">
        <v>842</v>
      </c>
      <c r="O649" s="4" t="str">
        <f t="shared" si="20"/>
        <v>EMI</v>
      </c>
      <c r="P649" s="5">
        <f t="shared" si="21"/>
        <v>61189.567999999999</v>
      </c>
    </row>
    <row r="650" spans="1:16" x14ac:dyDescent="0.25">
      <c r="A650" s="4">
        <v>2015</v>
      </c>
      <c r="B650" s="4">
        <v>12</v>
      </c>
      <c r="C650" s="12" t="s">
        <v>26</v>
      </c>
      <c r="D650" s="4" t="s">
        <v>32</v>
      </c>
      <c r="E650" s="4" t="s">
        <v>18</v>
      </c>
      <c r="F650" s="4" t="s">
        <v>25</v>
      </c>
      <c r="G650" s="5">
        <v>58649</v>
      </c>
      <c r="H650" s="5">
        <v>301063</v>
      </c>
      <c r="I650" s="4">
        <v>343</v>
      </c>
      <c r="J650" s="4">
        <v>0.97</v>
      </c>
      <c r="K650" s="4">
        <v>6.29</v>
      </c>
      <c r="L650" s="4">
        <v>1.2</v>
      </c>
      <c r="M650" s="4">
        <v>4</v>
      </c>
      <c r="N650" s="4">
        <v>1071</v>
      </c>
      <c r="O650" s="4" t="str">
        <f t="shared" si="20"/>
        <v>EMI</v>
      </c>
      <c r="P650" s="5">
        <f t="shared" si="21"/>
        <v>59352.788</v>
      </c>
    </row>
    <row r="651" spans="1:16" x14ac:dyDescent="0.25">
      <c r="A651" s="4">
        <v>2015</v>
      </c>
      <c r="B651" s="4">
        <v>8</v>
      </c>
      <c r="C651" s="12" t="s">
        <v>35</v>
      </c>
      <c r="D651" s="4" t="s">
        <v>16</v>
      </c>
      <c r="E651" s="4" t="s">
        <v>17</v>
      </c>
      <c r="F651" s="4" t="s">
        <v>18</v>
      </c>
      <c r="G651" s="5">
        <v>77065</v>
      </c>
      <c r="H651" s="5">
        <v>74502</v>
      </c>
      <c r="I651" s="4">
        <v>265</v>
      </c>
      <c r="J651" s="4">
        <v>0.97</v>
      </c>
      <c r="K651" s="4">
        <v>6.29</v>
      </c>
      <c r="L651" s="4">
        <v>1.2</v>
      </c>
      <c r="M651" s="4">
        <v>9</v>
      </c>
      <c r="N651" s="4">
        <v>929</v>
      </c>
      <c r="O651" s="4" t="str">
        <f t="shared" si="20"/>
        <v>EMI</v>
      </c>
      <c r="P651" s="5">
        <f t="shared" si="21"/>
        <v>77989.78</v>
      </c>
    </row>
    <row r="652" spans="1:16" x14ac:dyDescent="0.25">
      <c r="A652" s="4">
        <v>2016</v>
      </c>
      <c r="B652" s="4">
        <v>12</v>
      </c>
      <c r="C652" s="12" t="s">
        <v>36</v>
      </c>
      <c r="D652" s="4" t="s">
        <v>16</v>
      </c>
      <c r="E652" s="4" t="s">
        <v>14</v>
      </c>
      <c r="F652" s="4" t="s">
        <v>25</v>
      </c>
      <c r="G652" s="5">
        <v>69758</v>
      </c>
      <c r="H652" s="5">
        <v>72486</v>
      </c>
      <c r="I652" s="4">
        <v>290</v>
      </c>
      <c r="J652" s="4">
        <v>0.97</v>
      </c>
      <c r="K652" s="4">
        <v>6.29</v>
      </c>
      <c r="L652" s="4">
        <v>1.2</v>
      </c>
      <c r="M652" s="4">
        <v>9</v>
      </c>
      <c r="N652" s="4">
        <v>977</v>
      </c>
      <c r="O652" s="4" t="str">
        <f t="shared" si="20"/>
        <v>EMI</v>
      </c>
      <c r="P652" s="5">
        <f t="shared" si="21"/>
        <v>70595.096000000005</v>
      </c>
    </row>
    <row r="653" spans="1:16" x14ac:dyDescent="0.25">
      <c r="A653" s="4">
        <v>2023</v>
      </c>
      <c r="B653" s="4">
        <v>5</v>
      </c>
      <c r="C653" s="12" t="s">
        <v>23</v>
      </c>
      <c r="D653" s="4" t="s">
        <v>13</v>
      </c>
      <c r="E653" s="4" t="s">
        <v>14</v>
      </c>
      <c r="F653" s="4" t="s">
        <v>15</v>
      </c>
      <c r="G653" s="5">
        <v>40596</v>
      </c>
      <c r="H653" s="5">
        <v>423957</v>
      </c>
      <c r="I653" s="4">
        <v>313</v>
      </c>
      <c r="J653" s="4">
        <v>0.97</v>
      </c>
      <c r="K653" s="4">
        <v>6.29</v>
      </c>
      <c r="L653" s="4">
        <v>1.2</v>
      </c>
      <c r="M653" s="4">
        <v>6</v>
      </c>
      <c r="N653" s="4">
        <v>989</v>
      </c>
      <c r="O653" s="4" t="str">
        <f t="shared" si="20"/>
        <v>EMI</v>
      </c>
      <c r="P653" s="5">
        <f t="shared" si="21"/>
        <v>41083.152000000002</v>
      </c>
    </row>
    <row r="654" spans="1:16" x14ac:dyDescent="0.25">
      <c r="A654" s="4">
        <v>2017</v>
      </c>
      <c r="B654" s="4">
        <v>5</v>
      </c>
      <c r="C654" s="12" t="s">
        <v>33</v>
      </c>
      <c r="D654" s="4" t="s">
        <v>29</v>
      </c>
      <c r="E654" s="4" t="s">
        <v>17</v>
      </c>
      <c r="F654" s="4" t="s">
        <v>21</v>
      </c>
      <c r="G654" s="5">
        <v>51374</v>
      </c>
      <c r="H654" s="5">
        <v>219330</v>
      </c>
      <c r="I654" s="4">
        <v>330</v>
      </c>
      <c r="J654" s="4">
        <v>0.97</v>
      </c>
      <c r="K654" s="4">
        <v>6.29</v>
      </c>
      <c r="L654" s="4">
        <v>1.2</v>
      </c>
      <c r="M654" s="4">
        <v>2</v>
      </c>
      <c r="N654" s="4">
        <v>1096</v>
      </c>
      <c r="O654" s="4" t="str">
        <f t="shared" si="20"/>
        <v>Full</v>
      </c>
      <c r="P654" s="5">
        <f t="shared" si="21"/>
        <v>51374</v>
      </c>
    </row>
    <row r="655" spans="1:16" x14ac:dyDescent="0.25">
      <c r="A655" s="4">
        <v>2015</v>
      </c>
      <c r="B655" s="4">
        <v>11</v>
      </c>
      <c r="C655" s="12" t="s">
        <v>30</v>
      </c>
      <c r="D655" s="4" t="s">
        <v>29</v>
      </c>
      <c r="E655" s="4" t="s">
        <v>14</v>
      </c>
      <c r="F655" s="4" t="s">
        <v>21</v>
      </c>
      <c r="G655" s="5">
        <v>38775</v>
      </c>
      <c r="H655" s="5">
        <v>238788</v>
      </c>
      <c r="I655" s="4">
        <v>332</v>
      </c>
      <c r="J655" s="4">
        <v>0.97</v>
      </c>
      <c r="K655" s="4">
        <v>6.29</v>
      </c>
      <c r="L655" s="4">
        <v>1.2</v>
      </c>
      <c r="M655" s="4">
        <v>10</v>
      </c>
      <c r="N655" s="4">
        <v>835</v>
      </c>
      <c r="O655" s="4" t="str">
        <f t="shared" si="20"/>
        <v>EMI</v>
      </c>
      <c r="P655" s="5">
        <f t="shared" si="21"/>
        <v>39240.300000000003</v>
      </c>
    </row>
    <row r="656" spans="1:16" x14ac:dyDescent="0.25">
      <c r="A656" s="4">
        <v>2019</v>
      </c>
      <c r="B656" s="4">
        <v>4</v>
      </c>
      <c r="C656" s="12" t="s">
        <v>23</v>
      </c>
      <c r="D656" s="4" t="s">
        <v>13</v>
      </c>
      <c r="E656" s="4" t="s">
        <v>14</v>
      </c>
      <c r="F656" s="4" t="s">
        <v>25</v>
      </c>
      <c r="G656" s="5">
        <v>62388</v>
      </c>
      <c r="H656" s="5">
        <v>278300</v>
      </c>
      <c r="I656" s="4">
        <v>355</v>
      </c>
      <c r="J656" s="4">
        <v>0.97</v>
      </c>
      <c r="K656" s="4">
        <v>6.29</v>
      </c>
      <c r="L656" s="4">
        <v>1.2</v>
      </c>
      <c r="M656" s="4">
        <v>7</v>
      </c>
      <c r="N656" s="4">
        <v>886</v>
      </c>
      <c r="O656" s="4" t="str">
        <f t="shared" si="20"/>
        <v>EMI</v>
      </c>
      <c r="P656" s="5">
        <f t="shared" si="21"/>
        <v>63136.656000000003</v>
      </c>
    </row>
    <row r="657" spans="1:16" x14ac:dyDescent="0.25">
      <c r="A657" s="4">
        <v>2021</v>
      </c>
      <c r="B657" s="4">
        <v>6</v>
      </c>
      <c r="C657" s="12" t="s">
        <v>26</v>
      </c>
      <c r="D657" s="4" t="s">
        <v>24</v>
      </c>
      <c r="E657" s="4" t="s">
        <v>17</v>
      </c>
      <c r="F657" s="4" t="s">
        <v>15</v>
      </c>
      <c r="G657" s="5">
        <v>56029</v>
      </c>
      <c r="H657" s="5">
        <v>153920</v>
      </c>
      <c r="I657" s="4">
        <v>303</v>
      </c>
      <c r="J657" s="4">
        <v>0.97</v>
      </c>
      <c r="K657" s="4">
        <v>6.29</v>
      </c>
      <c r="L657" s="4">
        <v>1.2</v>
      </c>
      <c r="M657" s="4">
        <v>9</v>
      </c>
      <c r="N657" s="4">
        <v>682</v>
      </c>
      <c r="O657" s="4" t="str">
        <f t="shared" si="20"/>
        <v>EMI</v>
      </c>
      <c r="P657" s="5">
        <f t="shared" si="21"/>
        <v>56701.347999999998</v>
      </c>
    </row>
    <row r="658" spans="1:16" x14ac:dyDescent="0.25">
      <c r="A658" s="4">
        <v>2020</v>
      </c>
      <c r="B658" s="4">
        <v>3</v>
      </c>
      <c r="C658" s="12" t="s">
        <v>33</v>
      </c>
      <c r="D658" s="4" t="s">
        <v>16</v>
      </c>
      <c r="E658" s="4" t="s">
        <v>14</v>
      </c>
      <c r="F658" s="4" t="s">
        <v>21</v>
      </c>
      <c r="G658" s="5">
        <v>118981</v>
      </c>
      <c r="H658" s="5">
        <v>262566</v>
      </c>
      <c r="I658" s="4">
        <v>96</v>
      </c>
      <c r="J658" s="4">
        <v>0.97</v>
      </c>
      <c r="K658" s="4">
        <v>6.29</v>
      </c>
      <c r="L658" s="4">
        <v>1.2</v>
      </c>
      <c r="M658" s="4">
        <v>6</v>
      </c>
      <c r="N658" s="4">
        <v>622</v>
      </c>
      <c r="O658" s="4" t="str">
        <f t="shared" si="20"/>
        <v>EMI</v>
      </c>
      <c r="P658" s="5">
        <f t="shared" si="21"/>
        <v>120408.772</v>
      </c>
    </row>
    <row r="659" spans="1:16" x14ac:dyDescent="0.25">
      <c r="A659" s="4">
        <v>2015</v>
      </c>
      <c r="B659" s="4">
        <v>9</v>
      </c>
      <c r="C659" s="12" t="s">
        <v>34</v>
      </c>
      <c r="D659" s="4" t="s">
        <v>24</v>
      </c>
      <c r="E659" s="4" t="s">
        <v>18</v>
      </c>
      <c r="F659" s="4" t="s">
        <v>25</v>
      </c>
      <c r="G659" s="5">
        <v>88639</v>
      </c>
      <c r="H659" s="5">
        <v>394912</v>
      </c>
      <c r="I659" s="4">
        <v>158</v>
      </c>
      <c r="J659" s="4">
        <v>0.97</v>
      </c>
      <c r="K659" s="4">
        <v>6.29</v>
      </c>
      <c r="L659" s="4">
        <v>1.2</v>
      </c>
      <c r="M659" s="4">
        <v>3</v>
      </c>
      <c r="N659" s="4">
        <v>482</v>
      </c>
      <c r="O659" s="4" t="str">
        <f t="shared" si="20"/>
        <v>EMI</v>
      </c>
      <c r="P659" s="5">
        <f t="shared" si="21"/>
        <v>89702.668000000005</v>
      </c>
    </row>
    <row r="660" spans="1:16" x14ac:dyDescent="0.25">
      <c r="A660" s="4">
        <v>2019</v>
      </c>
      <c r="B660" s="4">
        <v>5</v>
      </c>
      <c r="C660" s="12" t="s">
        <v>28</v>
      </c>
      <c r="D660" s="4" t="s">
        <v>22</v>
      </c>
      <c r="E660" s="4" t="s">
        <v>18</v>
      </c>
      <c r="F660" s="4" t="s">
        <v>25</v>
      </c>
      <c r="G660" s="5">
        <v>49645</v>
      </c>
      <c r="H660" s="5">
        <v>453964</v>
      </c>
      <c r="I660" s="4">
        <v>258</v>
      </c>
      <c r="J660" s="4">
        <v>0.97</v>
      </c>
      <c r="K660" s="4">
        <v>6.29</v>
      </c>
      <c r="L660" s="4">
        <v>1.2</v>
      </c>
      <c r="M660" s="4">
        <v>7</v>
      </c>
      <c r="N660" s="4">
        <v>739</v>
      </c>
      <c r="O660" s="4" t="str">
        <f t="shared" si="20"/>
        <v>EMI</v>
      </c>
      <c r="P660" s="5">
        <f t="shared" si="21"/>
        <v>50240.74</v>
      </c>
    </row>
    <row r="661" spans="1:16" x14ac:dyDescent="0.25">
      <c r="A661" s="4">
        <v>2019</v>
      </c>
      <c r="B661" s="4">
        <v>3</v>
      </c>
      <c r="C661" s="12" t="s">
        <v>19</v>
      </c>
      <c r="D661" s="4" t="s">
        <v>22</v>
      </c>
      <c r="E661" s="4" t="s">
        <v>17</v>
      </c>
      <c r="F661" s="4" t="s">
        <v>15</v>
      </c>
      <c r="G661" s="5">
        <v>66105</v>
      </c>
      <c r="H661" s="5">
        <v>112785</v>
      </c>
      <c r="I661" s="4">
        <v>330</v>
      </c>
      <c r="J661" s="4">
        <v>0.97</v>
      </c>
      <c r="K661" s="4">
        <v>6.29</v>
      </c>
      <c r="L661" s="4">
        <v>1.2</v>
      </c>
      <c r="M661" s="4">
        <v>5</v>
      </c>
      <c r="N661" s="4">
        <v>1062</v>
      </c>
      <c r="O661" s="4" t="str">
        <f t="shared" si="20"/>
        <v>EMI</v>
      </c>
      <c r="P661" s="5">
        <f t="shared" si="21"/>
        <v>66898.259999999995</v>
      </c>
    </row>
    <row r="662" spans="1:16" x14ac:dyDescent="0.25">
      <c r="A662" s="4">
        <v>2020</v>
      </c>
      <c r="B662" s="4">
        <v>11</v>
      </c>
      <c r="C662" s="12" t="s">
        <v>35</v>
      </c>
      <c r="D662" s="4" t="s">
        <v>20</v>
      </c>
      <c r="E662" s="4" t="s">
        <v>14</v>
      </c>
      <c r="F662" s="4" t="s">
        <v>18</v>
      </c>
      <c r="G662" s="5">
        <v>48668</v>
      </c>
      <c r="H662" s="5">
        <v>126050</v>
      </c>
      <c r="I662" s="4">
        <v>292</v>
      </c>
      <c r="J662" s="4">
        <v>0.97</v>
      </c>
      <c r="K662" s="4">
        <v>6.29</v>
      </c>
      <c r="L662" s="4">
        <v>1.2</v>
      </c>
      <c r="M662" s="4">
        <v>1</v>
      </c>
      <c r="N662" s="4">
        <v>995</v>
      </c>
      <c r="O662" s="4" t="str">
        <f t="shared" si="20"/>
        <v>Full</v>
      </c>
      <c r="P662" s="5">
        <f t="shared" si="21"/>
        <v>48668</v>
      </c>
    </row>
    <row r="663" spans="1:16" x14ac:dyDescent="0.25">
      <c r="A663" s="4">
        <v>2017</v>
      </c>
      <c r="B663" s="4">
        <v>1</v>
      </c>
      <c r="C663" s="12" t="s">
        <v>35</v>
      </c>
      <c r="D663" s="4" t="s">
        <v>37</v>
      </c>
      <c r="E663" s="4" t="s">
        <v>18</v>
      </c>
      <c r="F663" s="4" t="s">
        <v>25</v>
      </c>
      <c r="G663" s="5">
        <v>50960</v>
      </c>
      <c r="H663" s="5">
        <v>72738</v>
      </c>
      <c r="I663" s="4">
        <v>371</v>
      </c>
      <c r="J663" s="4">
        <v>0.97</v>
      </c>
      <c r="K663" s="4">
        <v>6.29</v>
      </c>
      <c r="L663" s="4">
        <v>1.2</v>
      </c>
      <c r="M663" s="4">
        <v>3</v>
      </c>
      <c r="N663" s="4">
        <v>759</v>
      </c>
      <c r="O663" s="4" t="str">
        <f t="shared" si="20"/>
        <v>EMI</v>
      </c>
      <c r="P663" s="5">
        <f t="shared" si="21"/>
        <v>51571.520000000004</v>
      </c>
    </row>
    <row r="664" spans="1:16" x14ac:dyDescent="0.25">
      <c r="A664" s="4">
        <v>2019</v>
      </c>
      <c r="B664" s="4">
        <v>10</v>
      </c>
      <c r="C664" s="12" t="s">
        <v>19</v>
      </c>
      <c r="D664" s="4" t="s">
        <v>29</v>
      </c>
      <c r="E664" s="4" t="s">
        <v>18</v>
      </c>
      <c r="F664" s="4" t="s">
        <v>18</v>
      </c>
      <c r="G664" s="5">
        <v>46357</v>
      </c>
      <c r="H664" s="5">
        <v>124231</v>
      </c>
      <c r="I664" s="4">
        <v>388</v>
      </c>
      <c r="J664" s="4">
        <v>0.97</v>
      </c>
      <c r="K664" s="4">
        <v>6.29</v>
      </c>
      <c r="L664" s="4">
        <v>1.2</v>
      </c>
      <c r="M664" s="4">
        <v>5</v>
      </c>
      <c r="N664" s="4">
        <v>895</v>
      </c>
      <c r="O664" s="4" t="str">
        <f t="shared" si="20"/>
        <v>EMI</v>
      </c>
      <c r="P664" s="5">
        <f t="shared" si="21"/>
        <v>46913.284</v>
      </c>
    </row>
    <row r="665" spans="1:16" x14ac:dyDescent="0.25">
      <c r="A665" s="4">
        <v>2021</v>
      </c>
      <c r="B665" s="4">
        <v>12</v>
      </c>
      <c r="C665" s="12" t="s">
        <v>28</v>
      </c>
      <c r="D665" s="4" t="s">
        <v>20</v>
      </c>
      <c r="E665" s="4" t="s">
        <v>14</v>
      </c>
      <c r="F665" s="4" t="s">
        <v>18</v>
      </c>
      <c r="G665" s="5">
        <v>99604</v>
      </c>
      <c r="H665" s="5">
        <v>123606</v>
      </c>
      <c r="I665" s="4">
        <v>207</v>
      </c>
      <c r="J665" s="4">
        <v>0.97</v>
      </c>
      <c r="K665" s="4">
        <v>6.29</v>
      </c>
      <c r="L665" s="4">
        <v>1.2</v>
      </c>
      <c r="M665" s="4">
        <v>7</v>
      </c>
      <c r="N665" s="4">
        <v>754</v>
      </c>
      <c r="O665" s="4" t="str">
        <f t="shared" si="20"/>
        <v>EMI</v>
      </c>
      <c r="P665" s="5">
        <f t="shared" si="21"/>
        <v>100799.24800000001</v>
      </c>
    </row>
    <row r="666" spans="1:16" x14ac:dyDescent="0.25">
      <c r="A666" s="4">
        <v>2019</v>
      </c>
      <c r="B666" s="4">
        <v>6</v>
      </c>
      <c r="C666" s="12" t="s">
        <v>30</v>
      </c>
      <c r="D666" s="4" t="s">
        <v>32</v>
      </c>
      <c r="E666" s="4" t="s">
        <v>14</v>
      </c>
      <c r="F666" s="4" t="s">
        <v>21</v>
      </c>
      <c r="G666" s="5">
        <v>86796</v>
      </c>
      <c r="H666" s="5">
        <v>353806</v>
      </c>
      <c r="I666" s="4">
        <v>53</v>
      </c>
      <c r="J666" s="4">
        <v>0.97</v>
      </c>
      <c r="K666" s="4">
        <v>6.29</v>
      </c>
      <c r="L666" s="4">
        <v>1.2</v>
      </c>
      <c r="M666" s="4">
        <v>3</v>
      </c>
      <c r="N666" s="4">
        <v>203</v>
      </c>
      <c r="O666" s="4" t="str">
        <f t="shared" si="20"/>
        <v>EMI</v>
      </c>
      <c r="P666" s="5">
        <f t="shared" si="21"/>
        <v>87837.551999999996</v>
      </c>
    </row>
    <row r="667" spans="1:16" x14ac:dyDescent="0.25">
      <c r="A667" s="4">
        <v>2019</v>
      </c>
      <c r="B667" s="4">
        <v>2</v>
      </c>
      <c r="C667" s="12" t="s">
        <v>28</v>
      </c>
      <c r="D667" s="4" t="s">
        <v>13</v>
      </c>
      <c r="E667" s="4" t="s">
        <v>18</v>
      </c>
      <c r="F667" s="4" t="s">
        <v>18</v>
      </c>
      <c r="G667" s="5">
        <v>50804</v>
      </c>
      <c r="H667" s="5">
        <v>430457</v>
      </c>
      <c r="I667" s="4">
        <v>365</v>
      </c>
      <c r="J667" s="4">
        <v>0.97</v>
      </c>
      <c r="K667" s="4">
        <v>6.29</v>
      </c>
      <c r="L667" s="4">
        <v>1.2</v>
      </c>
      <c r="M667" s="4">
        <v>6</v>
      </c>
      <c r="N667" s="4">
        <v>1193</v>
      </c>
      <c r="O667" s="4" t="str">
        <f t="shared" si="20"/>
        <v>EMI</v>
      </c>
      <c r="P667" s="5">
        <f t="shared" si="21"/>
        <v>51413.648000000001</v>
      </c>
    </row>
    <row r="668" spans="1:16" x14ac:dyDescent="0.25">
      <c r="A668" s="4">
        <v>2019</v>
      </c>
      <c r="B668" s="4">
        <v>3</v>
      </c>
      <c r="C668" s="12" t="s">
        <v>33</v>
      </c>
      <c r="D668" s="4" t="s">
        <v>13</v>
      </c>
      <c r="E668" s="4" t="s">
        <v>18</v>
      </c>
      <c r="F668" s="4" t="s">
        <v>15</v>
      </c>
      <c r="G668" s="5">
        <v>49626</v>
      </c>
      <c r="H668" s="5">
        <v>277369</v>
      </c>
      <c r="I668" s="4">
        <v>37</v>
      </c>
      <c r="J668" s="4">
        <v>0.97</v>
      </c>
      <c r="K668" s="4">
        <v>6.29</v>
      </c>
      <c r="L668" s="4">
        <v>1.2</v>
      </c>
      <c r="M668" s="4">
        <v>5</v>
      </c>
      <c r="N668" s="4">
        <v>226</v>
      </c>
      <c r="O668" s="4" t="str">
        <f t="shared" si="20"/>
        <v>EMI</v>
      </c>
      <c r="P668" s="5">
        <f t="shared" si="21"/>
        <v>50221.512000000002</v>
      </c>
    </row>
    <row r="669" spans="1:16" x14ac:dyDescent="0.25">
      <c r="A669" s="4">
        <v>2024</v>
      </c>
      <c r="B669" s="4">
        <v>1</v>
      </c>
      <c r="C669" s="12" t="s">
        <v>28</v>
      </c>
      <c r="D669" s="4" t="s">
        <v>22</v>
      </c>
      <c r="E669" s="4" t="s">
        <v>17</v>
      </c>
      <c r="F669" s="4" t="s">
        <v>21</v>
      </c>
      <c r="G669" s="5">
        <v>63132</v>
      </c>
      <c r="H669" s="5">
        <v>327267</v>
      </c>
      <c r="I669" s="4">
        <v>26</v>
      </c>
      <c r="J669" s="4">
        <v>0.97</v>
      </c>
      <c r="K669" s="4">
        <v>6.29</v>
      </c>
      <c r="L669" s="4">
        <v>1.2</v>
      </c>
      <c r="M669" s="4">
        <v>1</v>
      </c>
      <c r="N669" s="4">
        <v>267</v>
      </c>
      <c r="O669" s="4" t="str">
        <f t="shared" si="20"/>
        <v>Discount</v>
      </c>
      <c r="P669" s="5">
        <f t="shared" si="21"/>
        <v>56818.8</v>
      </c>
    </row>
    <row r="670" spans="1:16" x14ac:dyDescent="0.25">
      <c r="A670" s="4">
        <v>2024</v>
      </c>
      <c r="B670" s="4">
        <v>9</v>
      </c>
      <c r="C670" s="12" t="s">
        <v>33</v>
      </c>
      <c r="D670" s="4" t="s">
        <v>16</v>
      </c>
      <c r="E670" s="4" t="s">
        <v>17</v>
      </c>
      <c r="F670" s="4" t="s">
        <v>21</v>
      </c>
      <c r="G670" s="5">
        <v>42951</v>
      </c>
      <c r="H670" s="5">
        <v>206688</v>
      </c>
      <c r="I670" s="4">
        <v>136</v>
      </c>
      <c r="J670" s="4">
        <v>0.97</v>
      </c>
      <c r="K670" s="4">
        <v>6.29</v>
      </c>
      <c r="L670" s="4">
        <v>1.2</v>
      </c>
      <c r="M670" s="4">
        <v>10</v>
      </c>
      <c r="N670" s="4">
        <v>475</v>
      </c>
      <c r="O670" s="4" t="str">
        <f t="shared" si="20"/>
        <v>EMI</v>
      </c>
      <c r="P670" s="5">
        <f t="shared" si="21"/>
        <v>43466.412000000004</v>
      </c>
    </row>
    <row r="671" spans="1:16" x14ac:dyDescent="0.25">
      <c r="A671" s="4">
        <v>2017</v>
      </c>
      <c r="B671" s="4">
        <v>8</v>
      </c>
      <c r="C671" s="12" t="s">
        <v>28</v>
      </c>
      <c r="D671" s="4" t="s">
        <v>24</v>
      </c>
      <c r="E671" s="4" t="s">
        <v>18</v>
      </c>
      <c r="F671" s="4" t="s">
        <v>21</v>
      </c>
      <c r="G671" s="5">
        <v>41449</v>
      </c>
      <c r="H671" s="5">
        <v>323326</v>
      </c>
      <c r="I671" s="4">
        <v>388</v>
      </c>
      <c r="J671" s="4">
        <v>0.97</v>
      </c>
      <c r="K671" s="4">
        <v>6.29</v>
      </c>
      <c r="L671" s="4">
        <v>1.2</v>
      </c>
      <c r="M671" s="4">
        <v>6</v>
      </c>
      <c r="N671" s="4">
        <v>1119</v>
      </c>
      <c r="O671" s="4" t="str">
        <f t="shared" si="20"/>
        <v>EMI</v>
      </c>
      <c r="P671" s="5">
        <f t="shared" si="21"/>
        <v>41946.387999999999</v>
      </c>
    </row>
    <row r="672" spans="1:16" x14ac:dyDescent="0.25">
      <c r="A672" s="4">
        <v>2015</v>
      </c>
      <c r="B672" s="4">
        <v>12</v>
      </c>
      <c r="C672" s="12" t="s">
        <v>30</v>
      </c>
      <c r="D672" s="4" t="s">
        <v>29</v>
      </c>
      <c r="E672" s="4" t="s">
        <v>17</v>
      </c>
      <c r="F672" s="4" t="s">
        <v>25</v>
      </c>
      <c r="G672" s="5">
        <v>54065</v>
      </c>
      <c r="H672" s="5">
        <v>402513</v>
      </c>
      <c r="I672" s="4">
        <v>177</v>
      </c>
      <c r="J672" s="4">
        <v>0.97</v>
      </c>
      <c r="K672" s="4">
        <v>6.29</v>
      </c>
      <c r="L672" s="4">
        <v>1.2</v>
      </c>
      <c r="M672" s="4">
        <v>8</v>
      </c>
      <c r="N672" s="4">
        <v>713</v>
      </c>
      <c r="O672" s="4" t="str">
        <f t="shared" si="20"/>
        <v>EMI</v>
      </c>
      <c r="P672" s="5">
        <f t="shared" si="21"/>
        <v>54713.78</v>
      </c>
    </row>
    <row r="673" spans="1:16" x14ac:dyDescent="0.25">
      <c r="A673" s="4">
        <v>2019</v>
      </c>
      <c r="B673" s="4">
        <v>2</v>
      </c>
      <c r="C673" s="12" t="s">
        <v>30</v>
      </c>
      <c r="D673" s="4" t="s">
        <v>20</v>
      </c>
      <c r="E673" s="4" t="s">
        <v>18</v>
      </c>
      <c r="F673" s="4" t="s">
        <v>25</v>
      </c>
      <c r="G673" s="5">
        <v>44130</v>
      </c>
      <c r="H673" s="5">
        <v>212403</v>
      </c>
      <c r="I673" s="4">
        <v>253</v>
      </c>
      <c r="J673" s="4">
        <v>0.97</v>
      </c>
      <c r="K673" s="4">
        <v>6.29</v>
      </c>
      <c r="L673" s="4">
        <v>1.2</v>
      </c>
      <c r="M673" s="4">
        <v>1</v>
      </c>
      <c r="N673" s="4">
        <v>744</v>
      </c>
      <c r="O673" s="4" t="str">
        <f t="shared" si="20"/>
        <v>Full</v>
      </c>
      <c r="P673" s="5">
        <f t="shared" si="21"/>
        <v>44130</v>
      </c>
    </row>
    <row r="674" spans="1:16" x14ac:dyDescent="0.25">
      <c r="A674" s="4">
        <v>2023</v>
      </c>
      <c r="B674" s="4">
        <v>12</v>
      </c>
      <c r="C674" s="12" t="s">
        <v>26</v>
      </c>
      <c r="D674" s="4" t="s">
        <v>24</v>
      </c>
      <c r="E674" s="4" t="s">
        <v>18</v>
      </c>
      <c r="F674" s="4" t="s">
        <v>18</v>
      </c>
      <c r="G674" s="5">
        <v>97287</v>
      </c>
      <c r="H674" s="5">
        <v>227170</v>
      </c>
      <c r="I674" s="4">
        <v>396</v>
      </c>
      <c r="J674" s="4">
        <v>0.97</v>
      </c>
      <c r="K674" s="4">
        <v>6.29</v>
      </c>
      <c r="L674" s="4">
        <v>1.2</v>
      </c>
      <c r="M674" s="4">
        <v>2</v>
      </c>
      <c r="N674" s="4">
        <v>963</v>
      </c>
      <c r="O674" s="4" t="str">
        <f t="shared" si="20"/>
        <v>Full</v>
      </c>
      <c r="P674" s="5">
        <f t="shared" si="21"/>
        <v>97287</v>
      </c>
    </row>
    <row r="675" spans="1:16" x14ac:dyDescent="0.25">
      <c r="A675" s="4">
        <v>2015</v>
      </c>
      <c r="B675" s="4">
        <v>11</v>
      </c>
      <c r="C675" s="12" t="s">
        <v>19</v>
      </c>
      <c r="D675" s="4" t="s">
        <v>20</v>
      </c>
      <c r="E675" s="4" t="s">
        <v>17</v>
      </c>
      <c r="F675" s="4" t="s">
        <v>21</v>
      </c>
      <c r="G675" s="5">
        <v>86702</v>
      </c>
      <c r="H675" s="5">
        <v>76128</v>
      </c>
      <c r="I675" s="4">
        <v>85</v>
      </c>
      <c r="J675" s="4">
        <v>0.97</v>
      </c>
      <c r="K675" s="4">
        <v>6.29</v>
      </c>
      <c r="L675" s="4">
        <v>1.2</v>
      </c>
      <c r="M675" s="4">
        <v>4</v>
      </c>
      <c r="N675" s="4">
        <v>304</v>
      </c>
      <c r="O675" s="4" t="str">
        <f t="shared" si="20"/>
        <v>EMI</v>
      </c>
      <c r="P675" s="5">
        <f t="shared" si="21"/>
        <v>87742.423999999999</v>
      </c>
    </row>
    <row r="676" spans="1:16" x14ac:dyDescent="0.25">
      <c r="A676" s="4">
        <v>2017</v>
      </c>
      <c r="B676" s="4">
        <v>8</v>
      </c>
      <c r="C676" s="12" t="s">
        <v>30</v>
      </c>
      <c r="D676" s="4" t="s">
        <v>37</v>
      </c>
      <c r="E676" s="4" t="s">
        <v>17</v>
      </c>
      <c r="F676" s="4" t="s">
        <v>21</v>
      </c>
      <c r="G676" s="5">
        <v>71993</v>
      </c>
      <c r="H676" s="5">
        <v>81556</v>
      </c>
      <c r="I676" s="4">
        <v>240</v>
      </c>
      <c r="J676" s="4">
        <v>0.97</v>
      </c>
      <c r="K676" s="4">
        <v>6.29</v>
      </c>
      <c r="L676" s="4">
        <v>1.2</v>
      </c>
      <c r="M676" s="4">
        <v>2</v>
      </c>
      <c r="N676" s="4">
        <v>766</v>
      </c>
      <c r="O676" s="4" t="str">
        <f t="shared" si="20"/>
        <v>Full</v>
      </c>
      <c r="P676" s="5">
        <f t="shared" si="21"/>
        <v>71993</v>
      </c>
    </row>
    <row r="677" spans="1:16" x14ac:dyDescent="0.25">
      <c r="A677" s="4">
        <v>2018</v>
      </c>
      <c r="B677" s="4">
        <v>12</v>
      </c>
      <c r="C677" s="12" t="s">
        <v>33</v>
      </c>
      <c r="D677" s="4" t="s">
        <v>32</v>
      </c>
      <c r="E677" s="4" t="s">
        <v>14</v>
      </c>
      <c r="F677" s="4" t="s">
        <v>15</v>
      </c>
      <c r="G677" s="5">
        <v>66875</v>
      </c>
      <c r="H677" s="5">
        <v>308470</v>
      </c>
      <c r="I677" s="4">
        <v>213</v>
      </c>
      <c r="J677" s="4">
        <v>0.97</v>
      </c>
      <c r="K677" s="4">
        <v>6.29</v>
      </c>
      <c r="L677" s="4">
        <v>1.2</v>
      </c>
      <c r="M677" s="4">
        <v>9</v>
      </c>
      <c r="N677" s="4">
        <v>434</v>
      </c>
      <c r="O677" s="4" t="str">
        <f t="shared" si="20"/>
        <v>EMI</v>
      </c>
      <c r="P677" s="5">
        <f t="shared" si="21"/>
        <v>67677.5</v>
      </c>
    </row>
    <row r="678" spans="1:16" x14ac:dyDescent="0.25">
      <c r="A678" s="4">
        <v>2015</v>
      </c>
      <c r="B678" s="4">
        <v>9</v>
      </c>
      <c r="C678" s="12" t="s">
        <v>30</v>
      </c>
      <c r="D678" s="4" t="s">
        <v>32</v>
      </c>
      <c r="E678" s="4" t="s">
        <v>14</v>
      </c>
      <c r="F678" s="4" t="s">
        <v>18</v>
      </c>
      <c r="G678" s="5">
        <v>41054</v>
      </c>
      <c r="H678" s="5">
        <v>202948</v>
      </c>
      <c r="I678" s="4">
        <v>257</v>
      </c>
      <c r="J678" s="4">
        <v>0.97</v>
      </c>
      <c r="K678" s="4">
        <v>6.29</v>
      </c>
      <c r="L678" s="4">
        <v>1.2</v>
      </c>
      <c r="M678" s="4">
        <v>10</v>
      </c>
      <c r="N678" s="4">
        <v>905</v>
      </c>
      <c r="O678" s="4" t="str">
        <f t="shared" si="20"/>
        <v>EMI</v>
      </c>
      <c r="P678" s="5">
        <f t="shared" si="21"/>
        <v>41546.648000000001</v>
      </c>
    </row>
    <row r="679" spans="1:16" x14ac:dyDescent="0.25">
      <c r="A679" s="4">
        <v>2015</v>
      </c>
      <c r="B679" s="4">
        <v>1</v>
      </c>
      <c r="C679" s="12" t="s">
        <v>26</v>
      </c>
      <c r="D679" s="4" t="s">
        <v>24</v>
      </c>
      <c r="E679" s="4" t="s">
        <v>14</v>
      </c>
      <c r="F679" s="4" t="s">
        <v>15</v>
      </c>
      <c r="G679" s="5">
        <v>83517</v>
      </c>
      <c r="H679" s="5">
        <v>190021</v>
      </c>
      <c r="I679" s="4">
        <v>311</v>
      </c>
      <c r="J679" s="4">
        <v>0.97</v>
      </c>
      <c r="K679" s="4">
        <v>6.29</v>
      </c>
      <c r="L679" s="4">
        <v>1.2</v>
      </c>
      <c r="M679" s="4">
        <v>8</v>
      </c>
      <c r="N679" s="4">
        <v>662</v>
      </c>
      <c r="O679" s="4" t="str">
        <f t="shared" si="20"/>
        <v>EMI</v>
      </c>
      <c r="P679" s="5">
        <f t="shared" si="21"/>
        <v>84519.203999999998</v>
      </c>
    </row>
    <row r="680" spans="1:16" x14ac:dyDescent="0.25">
      <c r="A680" s="4">
        <v>2022</v>
      </c>
      <c r="B680" s="4">
        <v>5</v>
      </c>
      <c r="C680" s="12" t="s">
        <v>35</v>
      </c>
      <c r="D680" s="4" t="s">
        <v>24</v>
      </c>
      <c r="E680" s="4" t="s">
        <v>18</v>
      </c>
      <c r="F680" s="4" t="s">
        <v>18</v>
      </c>
      <c r="G680" s="5">
        <v>111368</v>
      </c>
      <c r="H680" s="5">
        <v>101962</v>
      </c>
      <c r="I680" s="4">
        <v>223</v>
      </c>
      <c r="J680" s="4">
        <v>0.97</v>
      </c>
      <c r="K680" s="4">
        <v>6.29</v>
      </c>
      <c r="L680" s="4">
        <v>1.2</v>
      </c>
      <c r="M680" s="4">
        <v>8</v>
      </c>
      <c r="N680" s="4">
        <v>513</v>
      </c>
      <c r="O680" s="4" t="str">
        <f t="shared" si="20"/>
        <v>EMI</v>
      </c>
      <c r="P680" s="5">
        <f t="shared" si="21"/>
        <v>112704.416</v>
      </c>
    </row>
    <row r="681" spans="1:16" x14ac:dyDescent="0.25">
      <c r="A681" s="4">
        <v>2016</v>
      </c>
      <c r="B681" s="4">
        <v>8</v>
      </c>
      <c r="C681" s="12" t="s">
        <v>33</v>
      </c>
      <c r="D681" s="4" t="s">
        <v>24</v>
      </c>
      <c r="E681" s="4" t="s">
        <v>17</v>
      </c>
      <c r="F681" s="4" t="s">
        <v>18</v>
      </c>
      <c r="G681" s="5">
        <v>64670</v>
      </c>
      <c r="H681" s="5">
        <v>140054</v>
      </c>
      <c r="I681" s="4">
        <v>224</v>
      </c>
      <c r="J681" s="4">
        <v>0.97</v>
      </c>
      <c r="K681" s="4">
        <v>6.29</v>
      </c>
      <c r="L681" s="4">
        <v>1.2</v>
      </c>
      <c r="M681" s="4">
        <v>4</v>
      </c>
      <c r="N681" s="4">
        <v>800</v>
      </c>
      <c r="O681" s="4" t="str">
        <f t="shared" si="20"/>
        <v>EMI</v>
      </c>
      <c r="P681" s="5">
        <f t="shared" si="21"/>
        <v>65446.04</v>
      </c>
    </row>
    <row r="682" spans="1:16" x14ac:dyDescent="0.25">
      <c r="A682" s="4">
        <v>2022</v>
      </c>
      <c r="B682" s="4">
        <v>11</v>
      </c>
      <c r="C682" s="12" t="s">
        <v>26</v>
      </c>
      <c r="D682" s="4" t="s">
        <v>20</v>
      </c>
      <c r="E682" s="4" t="s">
        <v>18</v>
      </c>
      <c r="F682" s="4" t="s">
        <v>25</v>
      </c>
      <c r="G682" s="5">
        <v>84112</v>
      </c>
      <c r="H682" s="5">
        <v>252278</v>
      </c>
      <c r="I682" s="4">
        <v>167</v>
      </c>
      <c r="J682" s="4">
        <v>0.97</v>
      </c>
      <c r="K682" s="4">
        <v>6.29</v>
      </c>
      <c r="L682" s="4">
        <v>1.2</v>
      </c>
      <c r="M682" s="4">
        <v>5</v>
      </c>
      <c r="N682" s="4">
        <v>679</v>
      </c>
      <c r="O682" s="4" t="str">
        <f t="shared" si="20"/>
        <v>EMI</v>
      </c>
      <c r="P682" s="5">
        <f t="shared" si="21"/>
        <v>85121.343999999997</v>
      </c>
    </row>
    <row r="683" spans="1:16" x14ac:dyDescent="0.25">
      <c r="A683" s="4">
        <v>2021</v>
      </c>
      <c r="B683" s="4">
        <v>2</v>
      </c>
      <c r="C683" s="12" t="s">
        <v>36</v>
      </c>
      <c r="D683" s="4" t="s">
        <v>37</v>
      </c>
      <c r="E683" s="4" t="s">
        <v>17</v>
      </c>
      <c r="F683" s="4" t="s">
        <v>25</v>
      </c>
      <c r="G683" s="5">
        <v>63307</v>
      </c>
      <c r="H683" s="5">
        <v>74099</v>
      </c>
      <c r="I683" s="4">
        <v>78</v>
      </c>
      <c r="J683" s="4">
        <v>0.97</v>
      </c>
      <c r="K683" s="4">
        <v>6.29</v>
      </c>
      <c r="L683" s="4">
        <v>1.2</v>
      </c>
      <c r="M683" s="4">
        <v>4</v>
      </c>
      <c r="N683" s="4">
        <v>221</v>
      </c>
      <c r="O683" s="4" t="str">
        <f t="shared" si="20"/>
        <v>EMI</v>
      </c>
      <c r="P683" s="5">
        <f t="shared" si="21"/>
        <v>64066.684000000001</v>
      </c>
    </row>
    <row r="684" spans="1:16" x14ac:dyDescent="0.25">
      <c r="A684" s="4">
        <v>2024</v>
      </c>
      <c r="B684" s="4">
        <v>4</v>
      </c>
      <c r="C684" s="12" t="s">
        <v>36</v>
      </c>
      <c r="D684" s="4" t="s">
        <v>31</v>
      </c>
      <c r="E684" s="4" t="s">
        <v>18</v>
      </c>
      <c r="F684" s="4" t="s">
        <v>15</v>
      </c>
      <c r="G684" s="5">
        <v>102087</v>
      </c>
      <c r="H684" s="5">
        <v>285943</v>
      </c>
      <c r="I684" s="4">
        <v>94</v>
      </c>
      <c r="J684" s="4">
        <v>0.97</v>
      </c>
      <c r="K684" s="4">
        <v>6.29</v>
      </c>
      <c r="L684" s="4">
        <v>1.2</v>
      </c>
      <c r="M684" s="4">
        <v>9</v>
      </c>
      <c r="N684" s="4">
        <v>256</v>
      </c>
      <c r="O684" s="4" t="str">
        <f t="shared" si="20"/>
        <v>EMI</v>
      </c>
      <c r="P684" s="5">
        <f t="shared" si="21"/>
        <v>103312.04399999999</v>
      </c>
    </row>
    <row r="685" spans="1:16" x14ac:dyDescent="0.25">
      <c r="A685" s="4">
        <v>2024</v>
      </c>
      <c r="B685" s="4">
        <v>7</v>
      </c>
      <c r="C685" s="12" t="s">
        <v>34</v>
      </c>
      <c r="D685" s="4" t="s">
        <v>24</v>
      </c>
      <c r="E685" s="4" t="s">
        <v>14</v>
      </c>
      <c r="F685" s="4" t="s">
        <v>18</v>
      </c>
      <c r="G685" s="5">
        <v>82922</v>
      </c>
      <c r="H685" s="5">
        <v>455932</v>
      </c>
      <c r="I685" s="4">
        <v>276</v>
      </c>
      <c r="J685" s="4">
        <v>0.97</v>
      </c>
      <c r="K685" s="4">
        <v>6.29</v>
      </c>
      <c r="L685" s="4">
        <v>1.2</v>
      </c>
      <c r="M685" s="4">
        <v>2</v>
      </c>
      <c r="N685" s="4">
        <v>853</v>
      </c>
      <c r="O685" s="4" t="str">
        <f t="shared" si="20"/>
        <v>Discount</v>
      </c>
      <c r="P685" s="5">
        <f t="shared" si="21"/>
        <v>74629.8</v>
      </c>
    </row>
    <row r="686" spans="1:16" x14ac:dyDescent="0.25">
      <c r="A686" s="4">
        <v>2016</v>
      </c>
      <c r="B686" s="4">
        <v>3</v>
      </c>
      <c r="C686" s="12" t="s">
        <v>28</v>
      </c>
      <c r="D686" s="4" t="s">
        <v>16</v>
      </c>
      <c r="E686" s="4" t="s">
        <v>14</v>
      </c>
      <c r="F686" s="4" t="s">
        <v>21</v>
      </c>
      <c r="G686" s="5">
        <v>98080</v>
      </c>
      <c r="H686" s="5">
        <v>233683</v>
      </c>
      <c r="I686" s="4">
        <v>78</v>
      </c>
      <c r="J686" s="4">
        <v>0.97</v>
      </c>
      <c r="K686" s="4">
        <v>6.29</v>
      </c>
      <c r="L686" s="4">
        <v>1.2</v>
      </c>
      <c r="M686" s="4">
        <v>8</v>
      </c>
      <c r="N686" s="4">
        <v>317</v>
      </c>
      <c r="O686" s="4" t="str">
        <f t="shared" si="20"/>
        <v>EMI</v>
      </c>
      <c r="P686" s="5">
        <f t="shared" si="21"/>
        <v>99256.960000000006</v>
      </c>
    </row>
    <row r="687" spans="1:16" x14ac:dyDescent="0.25">
      <c r="A687" s="4">
        <v>2020</v>
      </c>
      <c r="B687" s="4">
        <v>12</v>
      </c>
      <c r="C687" s="12" t="s">
        <v>19</v>
      </c>
      <c r="D687" s="4" t="s">
        <v>29</v>
      </c>
      <c r="E687" s="4" t="s">
        <v>14</v>
      </c>
      <c r="F687" s="4" t="s">
        <v>25</v>
      </c>
      <c r="G687" s="5">
        <v>114335</v>
      </c>
      <c r="H687" s="5">
        <v>219957</v>
      </c>
      <c r="I687" s="4">
        <v>108</v>
      </c>
      <c r="J687" s="4">
        <v>0.97</v>
      </c>
      <c r="K687" s="4">
        <v>6.29</v>
      </c>
      <c r="L687" s="4">
        <v>1.2</v>
      </c>
      <c r="M687" s="4">
        <v>2</v>
      </c>
      <c r="N687" s="4">
        <v>461</v>
      </c>
      <c r="O687" s="4" t="str">
        <f t="shared" si="20"/>
        <v>Full</v>
      </c>
      <c r="P687" s="5">
        <f t="shared" si="21"/>
        <v>114335</v>
      </c>
    </row>
    <row r="688" spans="1:16" x14ac:dyDescent="0.25">
      <c r="A688" s="4">
        <v>2020</v>
      </c>
      <c r="B688" s="4">
        <v>5</v>
      </c>
      <c r="C688" s="12" t="s">
        <v>12</v>
      </c>
      <c r="D688" s="4" t="s">
        <v>29</v>
      </c>
      <c r="E688" s="4" t="s">
        <v>18</v>
      </c>
      <c r="F688" s="4" t="s">
        <v>21</v>
      </c>
      <c r="G688" s="5">
        <v>61312</v>
      </c>
      <c r="H688" s="5">
        <v>365288</v>
      </c>
      <c r="I688" s="4">
        <v>356</v>
      </c>
      <c r="J688" s="4">
        <v>0.97</v>
      </c>
      <c r="K688" s="4">
        <v>6.29</v>
      </c>
      <c r="L688" s="4">
        <v>1.2</v>
      </c>
      <c r="M688" s="4">
        <v>1</v>
      </c>
      <c r="N688" s="4">
        <v>964</v>
      </c>
      <c r="O688" s="4" t="str">
        <f t="shared" si="20"/>
        <v>Discount</v>
      </c>
      <c r="P688" s="5">
        <f t="shared" si="21"/>
        <v>55180.800000000003</v>
      </c>
    </row>
    <row r="689" spans="1:16" x14ac:dyDescent="0.25">
      <c r="A689" s="4">
        <v>2017</v>
      </c>
      <c r="B689" s="4">
        <v>8</v>
      </c>
      <c r="C689" s="12" t="s">
        <v>23</v>
      </c>
      <c r="D689" s="4" t="s">
        <v>20</v>
      </c>
      <c r="E689" s="4" t="s">
        <v>17</v>
      </c>
      <c r="F689" s="4" t="s">
        <v>15</v>
      </c>
      <c r="G689" s="5">
        <v>101985</v>
      </c>
      <c r="H689" s="5">
        <v>246292</v>
      </c>
      <c r="I689" s="4">
        <v>225</v>
      </c>
      <c r="J689" s="4">
        <v>0.97</v>
      </c>
      <c r="K689" s="4">
        <v>6.29</v>
      </c>
      <c r="L689" s="4">
        <v>1.2</v>
      </c>
      <c r="M689" s="4">
        <v>10</v>
      </c>
      <c r="N689" s="4">
        <v>453</v>
      </c>
      <c r="O689" s="4" t="str">
        <f t="shared" si="20"/>
        <v>EMI</v>
      </c>
      <c r="P689" s="5">
        <f t="shared" si="21"/>
        <v>103208.82</v>
      </c>
    </row>
    <row r="690" spans="1:16" x14ac:dyDescent="0.25">
      <c r="A690" s="4">
        <v>2016</v>
      </c>
      <c r="B690" s="4">
        <v>12</v>
      </c>
      <c r="C690" s="12" t="s">
        <v>26</v>
      </c>
      <c r="D690" s="4" t="s">
        <v>24</v>
      </c>
      <c r="E690" s="4" t="s">
        <v>17</v>
      </c>
      <c r="F690" s="4" t="s">
        <v>25</v>
      </c>
      <c r="G690" s="5">
        <v>92608</v>
      </c>
      <c r="H690" s="5">
        <v>57837</v>
      </c>
      <c r="I690" s="4">
        <v>170</v>
      </c>
      <c r="J690" s="4">
        <v>0.97</v>
      </c>
      <c r="K690" s="4">
        <v>6.29</v>
      </c>
      <c r="L690" s="4">
        <v>1.2</v>
      </c>
      <c r="M690" s="4">
        <v>3</v>
      </c>
      <c r="N690" s="4">
        <v>622</v>
      </c>
      <c r="O690" s="4" t="str">
        <f t="shared" si="20"/>
        <v>EMI</v>
      </c>
      <c r="P690" s="5">
        <f t="shared" si="21"/>
        <v>93719.296000000002</v>
      </c>
    </row>
    <row r="691" spans="1:16" x14ac:dyDescent="0.25">
      <c r="A691" s="4">
        <v>2015</v>
      </c>
      <c r="B691" s="4">
        <v>10</v>
      </c>
      <c r="C691" s="12" t="s">
        <v>35</v>
      </c>
      <c r="D691" s="4" t="s">
        <v>22</v>
      </c>
      <c r="E691" s="4" t="s">
        <v>14</v>
      </c>
      <c r="F691" s="4" t="s">
        <v>25</v>
      </c>
      <c r="G691" s="5">
        <v>75277</v>
      </c>
      <c r="H691" s="5">
        <v>230427</v>
      </c>
      <c r="I691" s="4">
        <v>103</v>
      </c>
      <c r="J691" s="4">
        <v>0.97</v>
      </c>
      <c r="K691" s="4">
        <v>6.29</v>
      </c>
      <c r="L691" s="4">
        <v>1.2</v>
      </c>
      <c r="M691" s="4">
        <v>9</v>
      </c>
      <c r="N691" s="4">
        <v>275</v>
      </c>
      <c r="O691" s="4" t="str">
        <f t="shared" si="20"/>
        <v>EMI</v>
      </c>
      <c r="P691" s="5">
        <f t="shared" si="21"/>
        <v>76180.324000000008</v>
      </c>
    </row>
    <row r="692" spans="1:16" x14ac:dyDescent="0.25">
      <c r="A692" s="4">
        <v>2020</v>
      </c>
      <c r="B692" s="4">
        <v>3</v>
      </c>
      <c r="C692" s="12" t="s">
        <v>23</v>
      </c>
      <c r="D692" s="4" t="s">
        <v>13</v>
      </c>
      <c r="E692" s="4" t="s">
        <v>14</v>
      </c>
      <c r="F692" s="4" t="s">
        <v>18</v>
      </c>
      <c r="G692" s="5">
        <v>66551</v>
      </c>
      <c r="H692" s="5">
        <v>228371</v>
      </c>
      <c r="I692" s="4">
        <v>183</v>
      </c>
      <c r="J692" s="4">
        <v>0.97</v>
      </c>
      <c r="K692" s="4">
        <v>6.29</v>
      </c>
      <c r="L692" s="4">
        <v>1.2</v>
      </c>
      <c r="M692" s="4">
        <v>3</v>
      </c>
      <c r="N692" s="4">
        <v>400</v>
      </c>
      <c r="O692" s="4" t="str">
        <f t="shared" si="20"/>
        <v>EMI</v>
      </c>
      <c r="P692" s="5">
        <f t="shared" si="21"/>
        <v>67349.611999999994</v>
      </c>
    </row>
    <row r="693" spans="1:16" x14ac:dyDescent="0.25">
      <c r="A693" s="4">
        <v>2019</v>
      </c>
      <c r="B693" s="4">
        <v>4</v>
      </c>
      <c r="C693" s="12" t="s">
        <v>35</v>
      </c>
      <c r="D693" s="4" t="s">
        <v>31</v>
      </c>
      <c r="E693" s="4" t="s">
        <v>14</v>
      </c>
      <c r="F693" s="4" t="s">
        <v>15</v>
      </c>
      <c r="G693" s="5">
        <v>91597</v>
      </c>
      <c r="H693" s="5">
        <v>462375</v>
      </c>
      <c r="I693" s="4">
        <v>174</v>
      </c>
      <c r="J693" s="4">
        <v>0.97</v>
      </c>
      <c r="K693" s="4">
        <v>6.29</v>
      </c>
      <c r="L693" s="4">
        <v>1.2</v>
      </c>
      <c r="M693" s="4">
        <v>9</v>
      </c>
      <c r="N693" s="4">
        <v>769</v>
      </c>
      <c r="O693" s="4" t="str">
        <f t="shared" si="20"/>
        <v>EMI</v>
      </c>
      <c r="P693" s="5">
        <f t="shared" si="21"/>
        <v>92696.164000000004</v>
      </c>
    </row>
    <row r="694" spans="1:16" x14ac:dyDescent="0.25">
      <c r="A694" s="4">
        <v>2023</v>
      </c>
      <c r="B694" s="4">
        <v>9</v>
      </c>
      <c r="C694" s="12" t="s">
        <v>23</v>
      </c>
      <c r="D694" s="4" t="s">
        <v>16</v>
      </c>
      <c r="E694" s="4" t="s">
        <v>14</v>
      </c>
      <c r="F694" s="4" t="s">
        <v>18</v>
      </c>
      <c r="G694" s="5">
        <v>80212</v>
      </c>
      <c r="H694" s="5">
        <v>437356</v>
      </c>
      <c r="I694" s="4">
        <v>124</v>
      </c>
      <c r="J694" s="4">
        <v>0.97</v>
      </c>
      <c r="K694" s="4">
        <v>6.29</v>
      </c>
      <c r="L694" s="4">
        <v>1.2</v>
      </c>
      <c r="M694" s="4">
        <v>7</v>
      </c>
      <c r="N694" s="4">
        <v>519</v>
      </c>
      <c r="O694" s="4" t="str">
        <f t="shared" si="20"/>
        <v>EMI</v>
      </c>
      <c r="P694" s="5">
        <f t="shared" si="21"/>
        <v>81174.543999999994</v>
      </c>
    </row>
    <row r="695" spans="1:16" x14ac:dyDescent="0.25">
      <c r="A695" s="4">
        <v>2015</v>
      </c>
      <c r="B695" s="4">
        <v>7</v>
      </c>
      <c r="C695" s="12" t="s">
        <v>26</v>
      </c>
      <c r="D695" s="4" t="s">
        <v>37</v>
      </c>
      <c r="E695" s="4" t="s">
        <v>17</v>
      </c>
      <c r="F695" s="4" t="s">
        <v>25</v>
      </c>
      <c r="G695" s="5">
        <v>44637</v>
      </c>
      <c r="H695" s="5">
        <v>428824</v>
      </c>
      <c r="I695" s="4">
        <v>229</v>
      </c>
      <c r="J695" s="4">
        <v>0.97</v>
      </c>
      <c r="K695" s="4">
        <v>6.29</v>
      </c>
      <c r="L695" s="4">
        <v>1.2</v>
      </c>
      <c r="M695" s="4">
        <v>10</v>
      </c>
      <c r="N695" s="4">
        <v>861</v>
      </c>
      <c r="O695" s="4" t="str">
        <f t="shared" si="20"/>
        <v>EMI</v>
      </c>
      <c r="P695" s="5">
        <f t="shared" si="21"/>
        <v>45172.644</v>
      </c>
    </row>
    <row r="696" spans="1:16" x14ac:dyDescent="0.25">
      <c r="A696" s="4">
        <v>2021</v>
      </c>
      <c r="B696" s="4">
        <v>1</v>
      </c>
      <c r="C696" s="12" t="s">
        <v>12</v>
      </c>
      <c r="D696" s="4" t="s">
        <v>22</v>
      </c>
      <c r="E696" s="4" t="s">
        <v>18</v>
      </c>
      <c r="F696" s="4" t="s">
        <v>15</v>
      </c>
      <c r="G696" s="5">
        <v>78258</v>
      </c>
      <c r="H696" s="5">
        <v>298003</v>
      </c>
      <c r="I696" s="4">
        <v>40</v>
      </c>
      <c r="J696" s="4">
        <v>0.97</v>
      </c>
      <c r="K696" s="4">
        <v>6.29</v>
      </c>
      <c r="L696" s="4">
        <v>1.2</v>
      </c>
      <c r="M696" s="4">
        <v>1</v>
      </c>
      <c r="N696" s="4">
        <v>505</v>
      </c>
      <c r="O696" s="4" t="str">
        <f t="shared" si="20"/>
        <v>Full</v>
      </c>
      <c r="P696" s="5">
        <f t="shared" si="21"/>
        <v>78258</v>
      </c>
    </row>
    <row r="697" spans="1:16" x14ac:dyDescent="0.25">
      <c r="A697" s="4">
        <v>2019</v>
      </c>
      <c r="B697" s="4">
        <v>12</v>
      </c>
      <c r="C697" s="12" t="s">
        <v>23</v>
      </c>
      <c r="D697" s="4" t="s">
        <v>32</v>
      </c>
      <c r="E697" s="4" t="s">
        <v>18</v>
      </c>
      <c r="F697" s="4" t="s">
        <v>25</v>
      </c>
      <c r="G697" s="5">
        <v>70693</v>
      </c>
      <c r="H697" s="5">
        <v>418946</v>
      </c>
      <c r="I697" s="4">
        <v>20</v>
      </c>
      <c r="J697" s="4">
        <v>0.97</v>
      </c>
      <c r="K697" s="4">
        <v>6.29</v>
      </c>
      <c r="L697" s="4">
        <v>1.2</v>
      </c>
      <c r="M697" s="4">
        <v>10</v>
      </c>
      <c r="N697" s="4">
        <v>429</v>
      </c>
      <c r="O697" s="4" t="str">
        <f t="shared" si="20"/>
        <v>EMI</v>
      </c>
      <c r="P697" s="5">
        <f t="shared" si="21"/>
        <v>71541.316000000006</v>
      </c>
    </row>
    <row r="698" spans="1:16" x14ac:dyDescent="0.25">
      <c r="A698" s="4">
        <v>2019</v>
      </c>
      <c r="B698" s="4">
        <v>4</v>
      </c>
      <c r="C698" s="12" t="s">
        <v>26</v>
      </c>
      <c r="D698" s="4" t="s">
        <v>22</v>
      </c>
      <c r="E698" s="4" t="s">
        <v>18</v>
      </c>
      <c r="F698" s="4" t="s">
        <v>15</v>
      </c>
      <c r="G698" s="5">
        <v>44824</v>
      </c>
      <c r="H698" s="5">
        <v>152413</v>
      </c>
      <c r="I698" s="4">
        <v>352</v>
      </c>
      <c r="J698" s="4">
        <v>0.97</v>
      </c>
      <c r="K698" s="4">
        <v>6.29</v>
      </c>
      <c r="L698" s="4">
        <v>1.2</v>
      </c>
      <c r="M698" s="4">
        <v>5</v>
      </c>
      <c r="N698" s="4">
        <v>1007</v>
      </c>
      <c r="O698" s="4" t="str">
        <f t="shared" si="20"/>
        <v>EMI</v>
      </c>
      <c r="P698" s="5">
        <f t="shared" si="21"/>
        <v>45361.887999999999</v>
      </c>
    </row>
    <row r="699" spans="1:16" x14ac:dyDescent="0.25">
      <c r="A699" s="4">
        <v>2016</v>
      </c>
      <c r="B699" s="4">
        <v>4</v>
      </c>
      <c r="C699" s="12" t="s">
        <v>30</v>
      </c>
      <c r="D699" s="4" t="s">
        <v>20</v>
      </c>
      <c r="E699" s="4" t="s">
        <v>18</v>
      </c>
      <c r="F699" s="4" t="s">
        <v>25</v>
      </c>
      <c r="G699" s="5">
        <v>61950</v>
      </c>
      <c r="H699" s="5">
        <v>101012</v>
      </c>
      <c r="I699" s="4">
        <v>386</v>
      </c>
      <c r="J699" s="4">
        <v>0.97</v>
      </c>
      <c r="K699" s="4">
        <v>6.29</v>
      </c>
      <c r="L699" s="4">
        <v>1.2</v>
      </c>
      <c r="M699" s="4">
        <v>9</v>
      </c>
      <c r="N699" s="4">
        <v>931</v>
      </c>
      <c r="O699" s="4" t="str">
        <f t="shared" si="20"/>
        <v>EMI</v>
      </c>
      <c r="P699" s="5">
        <f t="shared" si="21"/>
        <v>62693.4</v>
      </c>
    </row>
    <row r="700" spans="1:16" x14ac:dyDescent="0.25">
      <c r="A700" s="4">
        <v>2017</v>
      </c>
      <c r="B700" s="4">
        <v>9</v>
      </c>
      <c r="C700" s="12" t="s">
        <v>12</v>
      </c>
      <c r="D700" s="4" t="s">
        <v>31</v>
      </c>
      <c r="E700" s="4" t="s">
        <v>14</v>
      </c>
      <c r="F700" s="4" t="s">
        <v>21</v>
      </c>
      <c r="G700" s="5">
        <v>58488</v>
      </c>
      <c r="H700" s="5">
        <v>180193</v>
      </c>
      <c r="I700" s="4">
        <v>139</v>
      </c>
      <c r="J700" s="4">
        <v>0.97</v>
      </c>
      <c r="K700" s="4">
        <v>6.29</v>
      </c>
      <c r="L700" s="4">
        <v>1.2</v>
      </c>
      <c r="M700" s="4">
        <v>3</v>
      </c>
      <c r="N700" s="4">
        <v>426</v>
      </c>
      <c r="O700" s="4" t="str">
        <f t="shared" si="20"/>
        <v>EMI</v>
      </c>
      <c r="P700" s="5">
        <f t="shared" si="21"/>
        <v>59189.856</v>
      </c>
    </row>
    <row r="701" spans="1:16" x14ac:dyDescent="0.25">
      <c r="A701" s="4">
        <v>2021</v>
      </c>
      <c r="B701" s="4">
        <v>6</v>
      </c>
      <c r="C701" s="12" t="s">
        <v>33</v>
      </c>
      <c r="D701" s="4" t="s">
        <v>27</v>
      </c>
      <c r="E701" s="4" t="s">
        <v>14</v>
      </c>
      <c r="F701" s="4" t="s">
        <v>21</v>
      </c>
      <c r="G701" s="5">
        <v>35215</v>
      </c>
      <c r="H701" s="5">
        <v>268168</v>
      </c>
      <c r="I701" s="4">
        <v>114</v>
      </c>
      <c r="J701" s="4">
        <v>0.97</v>
      </c>
      <c r="K701" s="4">
        <v>6.29</v>
      </c>
      <c r="L701" s="4">
        <v>1.2</v>
      </c>
      <c r="M701" s="4">
        <v>9</v>
      </c>
      <c r="N701" s="4">
        <v>288</v>
      </c>
      <c r="O701" s="4" t="str">
        <f t="shared" si="20"/>
        <v>EMI</v>
      </c>
      <c r="P701" s="5">
        <f t="shared" si="21"/>
        <v>35637.58</v>
      </c>
    </row>
    <row r="702" spans="1:16" x14ac:dyDescent="0.25">
      <c r="A702" s="4">
        <v>2020</v>
      </c>
      <c r="B702" s="4">
        <v>9</v>
      </c>
      <c r="C702" s="12" t="s">
        <v>35</v>
      </c>
      <c r="D702" s="4" t="s">
        <v>27</v>
      </c>
      <c r="E702" s="4" t="s">
        <v>14</v>
      </c>
      <c r="F702" s="4" t="s">
        <v>18</v>
      </c>
      <c r="G702" s="5">
        <v>46523</v>
      </c>
      <c r="H702" s="5">
        <v>198178</v>
      </c>
      <c r="I702" s="4">
        <v>36</v>
      </c>
      <c r="J702" s="4">
        <v>0.97</v>
      </c>
      <c r="K702" s="4">
        <v>6.29</v>
      </c>
      <c r="L702" s="4">
        <v>1.2</v>
      </c>
      <c r="M702" s="4">
        <v>5</v>
      </c>
      <c r="N702" s="4">
        <v>298</v>
      </c>
      <c r="O702" s="4" t="str">
        <f t="shared" si="20"/>
        <v>EMI</v>
      </c>
      <c r="P702" s="5">
        <f t="shared" si="21"/>
        <v>47081.275999999998</v>
      </c>
    </row>
    <row r="703" spans="1:16" x14ac:dyDescent="0.25">
      <c r="A703" s="4">
        <v>2016</v>
      </c>
      <c r="B703" s="4">
        <v>12</v>
      </c>
      <c r="C703" s="12" t="s">
        <v>36</v>
      </c>
      <c r="D703" s="4" t="s">
        <v>24</v>
      </c>
      <c r="E703" s="4" t="s">
        <v>18</v>
      </c>
      <c r="F703" s="4" t="s">
        <v>21</v>
      </c>
      <c r="G703" s="5">
        <v>110900</v>
      </c>
      <c r="H703" s="5">
        <v>108123</v>
      </c>
      <c r="I703" s="4">
        <v>236</v>
      </c>
      <c r="J703" s="4">
        <v>0.97</v>
      </c>
      <c r="K703" s="4">
        <v>6.29</v>
      </c>
      <c r="L703" s="4">
        <v>1.2</v>
      </c>
      <c r="M703" s="4">
        <v>9</v>
      </c>
      <c r="N703" s="4">
        <v>868</v>
      </c>
      <c r="O703" s="4" t="str">
        <f t="shared" si="20"/>
        <v>EMI</v>
      </c>
      <c r="P703" s="5">
        <f t="shared" si="21"/>
        <v>112230.8</v>
      </c>
    </row>
    <row r="704" spans="1:16" x14ac:dyDescent="0.25">
      <c r="A704" s="4">
        <v>2020</v>
      </c>
      <c r="B704" s="4">
        <v>6</v>
      </c>
      <c r="C704" s="12" t="s">
        <v>28</v>
      </c>
      <c r="D704" s="4" t="s">
        <v>24</v>
      </c>
      <c r="E704" s="4" t="s">
        <v>14</v>
      </c>
      <c r="F704" s="4" t="s">
        <v>25</v>
      </c>
      <c r="G704" s="5">
        <v>103689</v>
      </c>
      <c r="H704" s="5">
        <v>161825</v>
      </c>
      <c r="I704" s="4">
        <v>11</v>
      </c>
      <c r="J704" s="4">
        <v>0.97</v>
      </c>
      <c r="K704" s="4">
        <v>6.29</v>
      </c>
      <c r="L704" s="4">
        <v>1.2</v>
      </c>
      <c r="M704" s="4">
        <v>10</v>
      </c>
      <c r="N704" s="4">
        <v>92</v>
      </c>
      <c r="O704" s="4" t="str">
        <f t="shared" si="20"/>
        <v>EMI</v>
      </c>
      <c r="P704" s="5">
        <f t="shared" si="21"/>
        <v>104933.268</v>
      </c>
    </row>
    <row r="705" spans="1:16" x14ac:dyDescent="0.25">
      <c r="A705" s="4">
        <v>2016</v>
      </c>
      <c r="B705" s="4">
        <v>6</v>
      </c>
      <c r="C705" s="12" t="s">
        <v>36</v>
      </c>
      <c r="D705" s="4" t="s">
        <v>20</v>
      </c>
      <c r="E705" s="4" t="s">
        <v>14</v>
      </c>
      <c r="F705" s="4" t="s">
        <v>25</v>
      </c>
      <c r="G705" s="5">
        <v>58834</v>
      </c>
      <c r="H705" s="5">
        <v>58720</v>
      </c>
      <c r="I705" s="4">
        <v>368</v>
      </c>
      <c r="J705" s="4">
        <v>0.97</v>
      </c>
      <c r="K705" s="4">
        <v>6.29</v>
      </c>
      <c r="L705" s="4">
        <v>1.2</v>
      </c>
      <c r="M705" s="4">
        <v>6</v>
      </c>
      <c r="N705" s="4">
        <v>1006</v>
      </c>
      <c r="O705" s="4" t="str">
        <f t="shared" si="20"/>
        <v>EMI</v>
      </c>
      <c r="P705" s="5">
        <f t="shared" si="21"/>
        <v>59540.008000000002</v>
      </c>
    </row>
    <row r="706" spans="1:16" x14ac:dyDescent="0.25">
      <c r="A706" s="4">
        <v>2016</v>
      </c>
      <c r="B706" s="4">
        <v>5</v>
      </c>
      <c r="C706" s="12" t="s">
        <v>12</v>
      </c>
      <c r="D706" s="4" t="s">
        <v>37</v>
      </c>
      <c r="E706" s="4" t="s">
        <v>17</v>
      </c>
      <c r="F706" s="4" t="s">
        <v>21</v>
      </c>
      <c r="G706" s="5">
        <v>69474</v>
      </c>
      <c r="H706" s="5">
        <v>218733</v>
      </c>
      <c r="I706" s="4">
        <v>110</v>
      </c>
      <c r="J706" s="4">
        <v>0.97</v>
      </c>
      <c r="K706" s="4">
        <v>6.29</v>
      </c>
      <c r="L706" s="4">
        <v>1.2</v>
      </c>
      <c r="M706" s="4">
        <v>9</v>
      </c>
      <c r="N706" s="4">
        <v>548</v>
      </c>
      <c r="O706" s="4" t="str">
        <f t="shared" ref="O706:O769" si="22">IF(M706&gt;2,"EMI",IF(H706&gt;300000,"Discount","Full"))</f>
        <v>EMI</v>
      </c>
      <c r="P706" s="5">
        <f t="shared" ref="P706:P769" si="23">IF(O706="EMI", G706*(1+L706/100), IF(O706="Full", G706, G706*0.9))</f>
        <v>70307.687999999995</v>
      </c>
    </row>
    <row r="707" spans="1:16" x14ac:dyDescent="0.25">
      <c r="A707" s="4">
        <v>2016</v>
      </c>
      <c r="B707" s="4">
        <v>5</v>
      </c>
      <c r="C707" s="12" t="s">
        <v>33</v>
      </c>
      <c r="D707" s="4" t="s">
        <v>24</v>
      </c>
      <c r="E707" s="4" t="s">
        <v>17</v>
      </c>
      <c r="F707" s="4" t="s">
        <v>18</v>
      </c>
      <c r="G707" s="5">
        <v>78066</v>
      </c>
      <c r="H707" s="5">
        <v>296103</v>
      </c>
      <c r="I707" s="4">
        <v>30</v>
      </c>
      <c r="J707" s="4">
        <v>0.97</v>
      </c>
      <c r="K707" s="4">
        <v>6.29</v>
      </c>
      <c r="L707" s="4">
        <v>1.2</v>
      </c>
      <c r="M707" s="4">
        <v>7</v>
      </c>
      <c r="N707" s="4">
        <v>187</v>
      </c>
      <c r="O707" s="4" t="str">
        <f t="shared" si="22"/>
        <v>EMI</v>
      </c>
      <c r="P707" s="5">
        <f t="shared" si="23"/>
        <v>79002.792000000001</v>
      </c>
    </row>
    <row r="708" spans="1:16" x14ac:dyDescent="0.25">
      <c r="A708" s="4">
        <v>2017</v>
      </c>
      <c r="B708" s="4">
        <v>2</v>
      </c>
      <c r="C708" s="12" t="s">
        <v>35</v>
      </c>
      <c r="D708" s="4" t="s">
        <v>13</v>
      </c>
      <c r="E708" s="4" t="s">
        <v>14</v>
      </c>
      <c r="F708" s="4" t="s">
        <v>21</v>
      </c>
      <c r="G708" s="5">
        <v>45400</v>
      </c>
      <c r="H708" s="5">
        <v>274970</v>
      </c>
      <c r="I708" s="4">
        <v>67</v>
      </c>
      <c r="J708" s="4">
        <v>0.97</v>
      </c>
      <c r="K708" s="4">
        <v>6.29</v>
      </c>
      <c r="L708" s="4">
        <v>1.2</v>
      </c>
      <c r="M708" s="4">
        <v>7</v>
      </c>
      <c r="N708" s="4">
        <v>286</v>
      </c>
      <c r="O708" s="4" t="str">
        <f t="shared" si="22"/>
        <v>EMI</v>
      </c>
      <c r="P708" s="5">
        <f t="shared" si="23"/>
        <v>45944.800000000003</v>
      </c>
    </row>
    <row r="709" spans="1:16" x14ac:dyDescent="0.25">
      <c r="A709" s="4">
        <v>2016</v>
      </c>
      <c r="B709" s="4">
        <v>8</v>
      </c>
      <c r="C709" s="12" t="s">
        <v>33</v>
      </c>
      <c r="D709" s="4" t="s">
        <v>31</v>
      </c>
      <c r="E709" s="4" t="s">
        <v>17</v>
      </c>
      <c r="F709" s="4" t="s">
        <v>15</v>
      </c>
      <c r="G709" s="5">
        <v>45345</v>
      </c>
      <c r="H709" s="5">
        <v>274866</v>
      </c>
      <c r="I709" s="4">
        <v>398</v>
      </c>
      <c r="J709" s="4">
        <v>0.97</v>
      </c>
      <c r="K709" s="4">
        <v>6.29</v>
      </c>
      <c r="L709" s="4">
        <v>1.2</v>
      </c>
      <c r="M709" s="4">
        <v>8</v>
      </c>
      <c r="N709" s="4">
        <v>916</v>
      </c>
      <c r="O709" s="4" t="str">
        <f t="shared" si="22"/>
        <v>EMI</v>
      </c>
      <c r="P709" s="5">
        <f t="shared" si="23"/>
        <v>45889.14</v>
      </c>
    </row>
    <row r="710" spans="1:16" x14ac:dyDescent="0.25">
      <c r="A710" s="4">
        <v>2018</v>
      </c>
      <c r="B710" s="4">
        <v>8</v>
      </c>
      <c r="C710" s="12" t="s">
        <v>23</v>
      </c>
      <c r="D710" s="4" t="s">
        <v>20</v>
      </c>
      <c r="E710" s="4" t="s">
        <v>17</v>
      </c>
      <c r="F710" s="4" t="s">
        <v>15</v>
      </c>
      <c r="G710" s="5">
        <v>68896</v>
      </c>
      <c r="H710" s="5">
        <v>464336</v>
      </c>
      <c r="I710" s="4">
        <v>189</v>
      </c>
      <c r="J710" s="4">
        <v>0.97</v>
      </c>
      <c r="K710" s="4">
        <v>6.29</v>
      </c>
      <c r="L710" s="4">
        <v>1.2</v>
      </c>
      <c r="M710" s="4">
        <v>7</v>
      </c>
      <c r="N710" s="4">
        <v>708</v>
      </c>
      <c r="O710" s="4" t="str">
        <f t="shared" si="22"/>
        <v>EMI</v>
      </c>
      <c r="P710" s="5">
        <f t="shared" si="23"/>
        <v>69722.752000000008</v>
      </c>
    </row>
    <row r="711" spans="1:16" x14ac:dyDescent="0.25">
      <c r="A711" s="4">
        <v>2023</v>
      </c>
      <c r="B711" s="4">
        <v>11</v>
      </c>
      <c r="C711" s="12" t="s">
        <v>35</v>
      </c>
      <c r="D711" s="4" t="s">
        <v>29</v>
      </c>
      <c r="E711" s="4" t="s">
        <v>14</v>
      </c>
      <c r="F711" s="4" t="s">
        <v>15</v>
      </c>
      <c r="G711" s="5">
        <v>63899</v>
      </c>
      <c r="H711" s="5">
        <v>200862</v>
      </c>
      <c r="I711" s="4">
        <v>350</v>
      </c>
      <c r="J711" s="4">
        <v>0.97</v>
      </c>
      <c r="K711" s="4">
        <v>6.29</v>
      </c>
      <c r="L711" s="4">
        <v>1.2</v>
      </c>
      <c r="M711" s="4">
        <v>9</v>
      </c>
      <c r="N711" s="4">
        <v>1021</v>
      </c>
      <c r="O711" s="4" t="str">
        <f t="shared" si="22"/>
        <v>EMI</v>
      </c>
      <c r="P711" s="5">
        <f t="shared" si="23"/>
        <v>64665.788</v>
      </c>
    </row>
    <row r="712" spans="1:16" x14ac:dyDescent="0.25">
      <c r="A712" s="4">
        <v>2020</v>
      </c>
      <c r="B712" s="4">
        <v>1</v>
      </c>
      <c r="C712" s="12" t="s">
        <v>23</v>
      </c>
      <c r="D712" s="4" t="s">
        <v>32</v>
      </c>
      <c r="E712" s="4" t="s">
        <v>14</v>
      </c>
      <c r="F712" s="4" t="s">
        <v>21</v>
      </c>
      <c r="G712" s="5">
        <v>63229</v>
      </c>
      <c r="H712" s="5">
        <v>108655</v>
      </c>
      <c r="I712" s="4">
        <v>358</v>
      </c>
      <c r="J712" s="4">
        <v>0.97</v>
      </c>
      <c r="K712" s="4">
        <v>6.29</v>
      </c>
      <c r="L712" s="4">
        <v>1.2</v>
      </c>
      <c r="M712" s="4">
        <v>9</v>
      </c>
      <c r="N712" s="4">
        <v>749</v>
      </c>
      <c r="O712" s="4" t="str">
        <f t="shared" si="22"/>
        <v>EMI</v>
      </c>
      <c r="P712" s="5">
        <f t="shared" si="23"/>
        <v>63987.748</v>
      </c>
    </row>
    <row r="713" spans="1:16" x14ac:dyDescent="0.25">
      <c r="A713" s="4">
        <v>2015</v>
      </c>
      <c r="B713" s="4">
        <v>8</v>
      </c>
      <c r="C713" s="12" t="s">
        <v>26</v>
      </c>
      <c r="D713" s="4" t="s">
        <v>20</v>
      </c>
      <c r="E713" s="4" t="s">
        <v>14</v>
      </c>
      <c r="F713" s="4" t="s">
        <v>21</v>
      </c>
      <c r="G713" s="5">
        <v>40583</v>
      </c>
      <c r="H713" s="5">
        <v>240715</v>
      </c>
      <c r="I713" s="4">
        <v>29</v>
      </c>
      <c r="J713" s="4">
        <v>0.97</v>
      </c>
      <c r="K713" s="4">
        <v>6.29</v>
      </c>
      <c r="L713" s="4">
        <v>1.2</v>
      </c>
      <c r="M713" s="4">
        <v>6</v>
      </c>
      <c r="N713" s="4">
        <v>417</v>
      </c>
      <c r="O713" s="4" t="str">
        <f t="shared" si="22"/>
        <v>EMI</v>
      </c>
      <c r="P713" s="5">
        <f t="shared" si="23"/>
        <v>41069.995999999999</v>
      </c>
    </row>
    <row r="714" spans="1:16" x14ac:dyDescent="0.25">
      <c r="A714" s="4">
        <v>2022</v>
      </c>
      <c r="B714" s="4">
        <v>5</v>
      </c>
      <c r="C714" s="12" t="s">
        <v>12</v>
      </c>
      <c r="D714" s="4" t="s">
        <v>20</v>
      </c>
      <c r="E714" s="4" t="s">
        <v>14</v>
      </c>
      <c r="F714" s="4" t="s">
        <v>21</v>
      </c>
      <c r="G714" s="5">
        <v>39897</v>
      </c>
      <c r="H714" s="5">
        <v>143448</v>
      </c>
      <c r="I714" s="4">
        <v>264</v>
      </c>
      <c r="J714" s="4">
        <v>0.97</v>
      </c>
      <c r="K714" s="4">
        <v>6.29</v>
      </c>
      <c r="L714" s="4">
        <v>1.2</v>
      </c>
      <c r="M714" s="4">
        <v>7</v>
      </c>
      <c r="N714" s="4">
        <v>631</v>
      </c>
      <c r="O714" s="4" t="str">
        <f t="shared" si="22"/>
        <v>EMI</v>
      </c>
      <c r="P714" s="5">
        <f t="shared" si="23"/>
        <v>40375.764000000003</v>
      </c>
    </row>
    <row r="715" spans="1:16" x14ac:dyDescent="0.25">
      <c r="A715" s="4">
        <v>2021</v>
      </c>
      <c r="B715" s="4">
        <v>2</v>
      </c>
      <c r="C715" s="12" t="s">
        <v>26</v>
      </c>
      <c r="D715" s="4" t="s">
        <v>27</v>
      </c>
      <c r="E715" s="4" t="s">
        <v>18</v>
      </c>
      <c r="F715" s="4" t="s">
        <v>15</v>
      </c>
      <c r="G715" s="5">
        <v>106537</v>
      </c>
      <c r="H715" s="5">
        <v>228446</v>
      </c>
      <c r="I715" s="4">
        <v>326</v>
      </c>
      <c r="J715" s="4">
        <v>0.97</v>
      </c>
      <c r="K715" s="4">
        <v>6.29</v>
      </c>
      <c r="L715" s="4">
        <v>1.2</v>
      </c>
      <c r="M715" s="4">
        <v>2</v>
      </c>
      <c r="N715" s="4">
        <v>928</v>
      </c>
      <c r="O715" s="4" t="str">
        <f t="shared" si="22"/>
        <v>Full</v>
      </c>
      <c r="P715" s="5">
        <f t="shared" si="23"/>
        <v>106537</v>
      </c>
    </row>
    <row r="716" spans="1:16" x14ac:dyDescent="0.25">
      <c r="A716" s="4">
        <v>2024</v>
      </c>
      <c r="B716" s="4">
        <v>2</v>
      </c>
      <c r="C716" s="12" t="s">
        <v>34</v>
      </c>
      <c r="D716" s="4" t="s">
        <v>16</v>
      </c>
      <c r="E716" s="4" t="s">
        <v>18</v>
      </c>
      <c r="F716" s="4" t="s">
        <v>18</v>
      </c>
      <c r="G716" s="5">
        <v>39567</v>
      </c>
      <c r="H716" s="5">
        <v>223979</v>
      </c>
      <c r="I716" s="4">
        <v>47</v>
      </c>
      <c r="J716" s="4">
        <v>0.97</v>
      </c>
      <c r="K716" s="4">
        <v>6.29</v>
      </c>
      <c r="L716" s="4">
        <v>1.2</v>
      </c>
      <c r="M716" s="4">
        <v>9</v>
      </c>
      <c r="N716" s="4">
        <v>123</v>
      </c>
      <c r="O716" s="4" t="str">
        <f t="shared" si="22"/>
        <v>EMI</v>
      </c>
      <c r="P716" s="5">
        <f t="shared" si="23"/>
        <v>40041.804000000004</v>
      </c>
    </row>
    <row r="717" spans="1:16" x14ac:dyDescent="0.25">
      <c r="A717" s="4">
        <v>2017</v>
      </c>
      <c r="B717" s="4">
        <v>6</v>
      </c>
      <c r="C717" s="12" t="s">
        <v>33</v>
      </c>
      <c r="D717" s="4" t="s">
        <v>37</v>
      </c>
      <c r="E717" s="4" t="s">
        <v>14</v>
      </c>
      <c r="F717" s="4" t="s">
        <v>25</v>
      </c>
      <c r="G717" s="5">
        <v>109807</v>
      </c>
      <c r="H717" s="5">
        <v>231143</v>
      </c>
      <c r="I717" s="4">
        <v>157</v>
      </c>
      <c r="J717" s="4">
        <v>0.97</v>
      </c>
      <c r="K717" s="4">
        <v>6.29</v>
      </c>
      <c r="L717" s="4">
        <v>1.2</v>
      </c>
      <c r="M717" s="4">
        <v>1</v>
      </c>
      <c r="N717" s="4">
        <v>380</v>
      </c>
      <c r="O717" s="4" t="str">
        <f t="shared" si="22"/>
        <v>Full</v>
      </c>
      <c r="P717" s="5">
        <f t="shared" si="23"/>
        <v>109807</v>
      </c>
    </row>
    <row r="718" spans="1:16" x14ac:dyDescent="0.25">
      <c r="A718" s="4">
        <v>2015</v>
      </c>
      <c r="B718" s="4">
        <v>11</v>
      </c>
      <c r="C718" s="12" t="s">
        <v>23</v>
      </c>
      <c r="D718" s="4" t="s">
        <v>16</v>
      </c>
      <c r="E718" s="4" t="s">
        <v>17</v>
      </c>
      <c r="F718" s="4" t="s">
        <v>21</v>
      </c>
      <c r="G718" s="5">
        <v>112239</v>
      </c>
      <c r="H718" s="5">
        <v>170507</v>
      </c>
      <c r="I718" s="4">
        <v>34</v>
      </c>
      <c r="J718" s="4">
        <v>0.97</v>
      </c>
      <c r="K718" s="4">
        <v>6.29</v>
      </c>
      <c r="L718" s="4">
        <v>1.2</v>
      </c>
      <c r="M718" s="4">
        <v>1</v>
      </c>
      <c r="N718" s="4">
        <v>446</v>
      </c>
      <c r="O718" s="4" t="str">
        <f t="shared" si="22"/>
        <v>Full</v>
      </c>
      <c r="P718" s="5">
        <f t="shared" si="23"/>
        <v>112239</v>
      </c>
    </row>
    <row r="719" spans="1:16" x14ac:dyDescent="0.25">
      <c r="A719" s="4">
        <v>2019</v>
      </c>
      <c r="B719" s="4">
        <v>9</v>
      </c>
      <c r="C719" s="12" t="s">
        <v>30</v>
      </c>
      <c r="D719" s="4" t="s">
        <v>13</v>
      </c>
      <c r="E719" s="4" t="s">
        <v>14</v>
      </c>
      <c r="F719" s="4" t="s">
        <v>18</v>
      </c>
      <c r="G719" s="5">
        <v>48329</v>
      </c>
      <c r="H719" s="5">
        <v>346956</v>
      </c>
      <c r="I719" s="4">
        <v>395</v>
      </c>
      <c r="J719" s="4">
        <v>0.97</v>
      </c>
      <c r="K719" s="4">
        <v>6.29</v>
      </c>
      <c r="L719" s="4">
        <v>1.2</v>
      </c>
      <c r="M719" s="4">
        <v>3</v>
      </c>
      <c r="N719" s="4">
        <v>1088</v>
      </c>
      <c r="O719" s="4" t="str">
        <f t="shared" si="22"/>
        <v>EMI</v>
      </c>
      <c r="P719" s="5">
        <f t="shared" si="23"/>
        <v>48908.948000000004</v>
      </c>
    </row>
    <row r="720" spans="1:16" x14ac:dyDescent="0.25">
      <c r="A720" s="4">
        <v>2018</v>
      </c>
      <c r="B720" s="4">
        <v>1</v>
      </c>
      <c r="C720" s="12" t="s">
        <v>26</v>
      </c>
      <c r="D720" s="4" t="s">
        <v>29</v>
      </c>
      <c r="E720" s="4" t="s">
        <v>14</v>
      </c>
      <c r="F720" s="4" t="s">
        <v>25</v>
      </c>
      <c r="G720" s="5">
        <v>106792</v>
      </c>
      <c r="H720" s="5">
        <v>361714</v>
      </c>
      <c r="I720" s="4">
        <v>130</v>
      </c>
      <c r="J720" s="4">
        <v>0.97</v>
      </c>
      <c r="K720" s="4">
        <v>6.29</v>
      </c>
      <c r="L720" s="4">
        <v>1.2</v>
      </c>
      <c r="M720" s="4">
        <v>6</v>
      </c>
      <c r="N720" s="4">
        <v>496</v>
      </c>
      <c r="O720" s="4" t="str">
        <f t="shared" si="22"/>
        <v>EMI</v>
      </c>
      <c r="P720" s="5">
        <f t="shared" si="23"/>
        <v>108073.504</v>
      </c>
    </row>
    <row r="721" spans="1:16" x14ac:dyDescent="0.25">
      <c r="A721" s="4">
        <v>2024</v>
      </c>
      <c r="B721" s="4">
        <v>12</v>
      </c>
      <c r="C721" s="12" t="s">
        <v>34</v>
      </c>
      <c r="D721" s="4" t="s">
        <v>27</v>
      </c>
      <c r="E721" s="4" t="s">
        <v>17</v>
      </c>
      <c r="F721" s="4" t="s">
        <v>25</v>
      </c>
      <c r="G721" s="5">
        <v>35228</v>
      </c>
      <c r="H721" s="5">
        <v>363045</v>
      </c>
      <c r="I721" s="4">
        <v>35</v>
      </c>
      <c r="J721" s="4">
        <v>0.97</v>
      </c>
      <c r="K721" s="4">
        <v>6.29</v>
      </c>
      <c r="L721" s="4">
        <v>1.2</v>
      </c>
      <c r="M721" s="4">
        <v>5</v>
      </c>
      <c r="N721" s="4">
        <v>171</v>
      </c>
      <c r="O721" s="4" t="str">
        <f t="shared" si="22"/>
        <v>EMI</v>
      </c>
      <c r="P721" s="5">
        <f t="shared" si="23"/>
        <v>35650.735999999997</v>
      </c>
    </row>
    <row r="722" spans="1:16" x14ac:dyDescent="0.25">
      <c r="A722" s="4">
        <v>2022</v>
      </c>
      <c r="B722" s="4">
        <v>6</v>
      </c>
      <c r="C722" s="12" t="s">
        <v>19</v>
      </c>
      <c r="D722" s="4" t="s">
        <v>29</v>
      </c>
      <c r="E722" s="4" t="s">
        <v>18</v>
      </c>
      <c r="F722" s="4" t="s">
        <v>25</v>
      </c>
      <c r="G722" s="5">
        <v>117214</v>
      </c>
      <c r="H722" s="5">
        <v>110186</v>
      </c>
      <c r="I722" s="4">
        <v>178</v>
      </c>
      <c r="J722" s="4">
        <v>0.97</v>
      </c>
      <c r="K722" s="4">
        <v>6.29</v>
      </c>
      <c r="L722" s="4">
        <v>1.2</v>
      </c>
      <c r="M722" s="4">
        <v>2</v>
      </c>
      <c r="N722" s="4">
        <v>511</v>
      </c>
      <c r="O722" s="4" t="str">
        <f t="shared" si="22"/>
        <v>Full</v>
      </c>
      <c r="P722" s="5">
        <f t="shared" si="23"/>
        <v>117214</v>
      </c>
    </row>
    <row r="723" spans="1:16" x14ac:dyDescent="0.25">
      <c r="A723" s="4">
        <v>2015</v>
      </c>
      <c r="B723" s="4">
        <v>9</v>
      </c>
      <c r="C723" s="12" t="s">
        <v>36</v>
      </c>
      <c r="D723" s="4" t="s">
        <v>13</v>
      </c>
      <c r="E723" s="4" t="s">
        <v>14</v>
      </c>
      <c r="F723" s="4" t="s">
        <v>18</v>
      </c>
      <c r="G723" s="5">
        <v>72052</v>
      </c>
      <c r="H723" s="5">
        <v>172066</v>
      </c>
      <c r="I723" s="4">
        <v>332</v>
      </c>
      <c r="J723" s="4">
        <v>0.97</v>
      </c>
      <c r="K723" s="4">
        <v>6.29</v>
      </c>
      <c r="L723" s="4">
        <v>1.2</v>
      </c>
      <c r="M723" s="4">
        <v>9</v>
      </c>
      <c r="N723" s="4">
        <v>908</v>
      </c>
      <c r="O723" s="4" t="str">
        <f t="shared" si="22"/>
        <v>EMI</v>
      </c>
      <c r="P723" s="5">
        <f t="shared" si="23"/>
        <v>72916.623999999996</v>
      </c>
    </row>
    <row r="724" spans="1:16" x14ac:dyDescent="0.25">
      <c r="A724" s="4">
        <v>2024</v>
      </c>
      <c r="B724" s="4">
        <v>8</v>
      </c>
      <c r="C724" s="12" t="s">
        <v>35</v>
      </c>
      <c r="D724" s="4" t="s">
        <v>16</v>
      </c>
      <c r="E724" s="4" t="s">
        <v>14</v>
      </c>
      <c r="F724" s="4" t="s">
        <v>18</v>
      </c>
      <c r="G724" s="5">
        <v>92769</v>
      </c>
      <c r="H724" s="5">
        <v>440508</v>
      </c>
      <c r="I724" s="4">
        <v>234</v>
      </c>
      <c r="J724" s="4">
        <v>0.97</v>
      </c>
      <c r="K724" s="4">
        <v>6.29</v>
      </c>
      <c r="L724" s="4">
        <v>1.2</v>
      </c>
      <c r="M724" s="4">
        <v>10</v>
      </c>
      <c r="N724" s="4">
        <v>778</v>
      </c>
      <c r="O724" s="4" t="str">
        <f t="shared" si="22"/>
        <v>EMI</v>
      </c>
      <c r="P724" s="5">
        <f t="shared" si="23"/>
        <v>93882.228000000003</v>
      </c>
    </row>
    <row r="725" spans="1:16" x14ac:dyDescent="0.25">
      <c r="A725" s="4">
        <v>2015</v>
      </c>
      <c r="B725" s="4">
        <v>11</v>
      </c>
      <c r="C725" s="12" t="s">
        <v>34</v>
      </c>
      <c r="D725" s="4" t="s">
        <v>20</v>
      </c>
      <c r="E725" s="4" t="s">
        <v>18</v>
      </c>
      <c r="F725" s="4" t="s">
        <v>15</v>
      </c>
      <c r="G725" s="5">
        <v>81032</v>
      </c>
      <c r="H725" s="5">
        <v>231323</v>
      </c>
      <c r="I725" s="4">
        <v>10</v>
      </c>
      <c r="J725" s="4">
        <v>0.97</v>
      </c>
      <c r="K725" s="4">
        <v>6.29</v>
      </c>
      <c r="L725" s="4">
        <v>1.2</v>
      </c>
      <c r="M725" s="4">
        <v>4</v>
      </c>
      <c r="N725" s="4">
        <v>247</v>
      </c>
      <c r="O725" s="4" t="str">
        <f t="shared" si="22"/>
        <v>EMI</v>
      </c>
      <c r="P725" s="5">
        <f t="shared" si="23"/>
        <v>82004.384000000005</v>
      </c>
    </row>
    <row r="726" spans="1:16" x14ac:dyDescent="0.25">
      <c r="A726" s="4">
        <v>2018</v>
      </c>
      <c r="B726" s="4">
        <v>6</v>
      </c>
      <c r="C726" s="12" t="s">
        <v>12</v>
      </c>
      <c r="D726" s="4" t="s">
        <v>24</v>
      </c>
      <c r="E726" s="4" t="s">
        <v>18</v>
      </c>
      <c r="F726" s="4" t="s">
        <v>18</v>
      </c>
      <c r="G726" s="5">
        <v>68686</v>
      </c>
      <c r="H726" s="5">
        <v>246243</v>
      </c>
      <c r="I726" s="4">
        <v>316</v>
      </c>
      <c r="J726" s="4">
        <v>0.97</v>
      </c>
      <c r="K726" s="4">
        <v>6.29</v>
      </c>
      <c r="L726" s="4">
        <v>1.2</v>
      </c>
      <c r="M726" s="4">
        <v>4</v>
      </c>
      <c r="N726" s="4">
        <v>834</v>
      </c>
      <c r="O726" s="4" t="str">
        <f t="shared" si="22"/>
        <v>EMI</v>
      </c>
      <c r="P726" s="5">
        <f t="shared" si="23"/>
        <v>69510.232000000004</v>
      </c>
    </row>
    <row r="727" spans="1:16" x14ac:dyDescent="0.25">
      <c r="A727" s="4">
        <v>2022</v>
      </c>
      <c r="B727" s="4">
        <v>3</v>
      </c>
      <c r="C727" s="12" t="s">
        <v>26</v>
      </c>
      <c r="D727" s="4" t="s">
        <v>24</v>
      </c>
      <c r="E727" s="4" t="s">
        <v>17</v>
      </c>
      <c r="F727" s="4" t="s">
        <v>18</v>
      </c>
      <c r="G727" s="5">
        <v>111981</v>
      </c>
      <c r="H727" s="5">
        <v>86160</v>
      </c>
      <c r="I727" s="4">
        <v>270</v>
      </c>
      <c r="J727" s="4">
        <v>0.97</v>
      </c>
      <c r="K727" s="4">
        <v>6.29</v>
      </c>
      <c r="L727" s="4">
        <v>1.2</v>
      </c>
      <c r="M727" s="4">
        <v>5</v>
      </c>
      <c r="N727" s="4">
        <v>573</v>
      </c>
      <c r="O727" s="4" t="str">
        <f t="shared" si="22"/>
        <v>EMI</v>
      </c>
      <c r="P727" s="5">
        <f t="shared" si="23"/>
        <v>113324.772</v>
      </c>
    </row>
    <row r="728" spans="1:16" x14ac:dyDescent="0.25">
      <c r="A728" s="4">
        <v>2019</v>
      </c>
      <c r="B728" s="4">
        <v>8</v>
      </c>
      <c r="C728" s="12" t="s">
        <v>12</v>
      </c>
      <c r="D728" s="4" t="s">
        <v>22</v>
      </c>
      <c r="E728" s="4" t="s">
        <v>18</v>
      </c>
      <c r="F728" s="4" t="s">
        <v>18</v>
      </c>
      <c r="G728" s="5">
        <v>98261</v>
      </c>
      <c r="H728" s="5">
        <v>69156</v>
      </c>
      <c r="I728" s="4">
        <v>22</v>
      </c>
      <c r="J728" s="4">
        <v>0.97</v>
      </c>
      <c r="K728" s="4">
        <v>6.29</v>
      </c>
      <c r="L728" s="4">
        <v>1.2</v>
      </c>
      <c r="M728" s="4">
        <v>8</v>
      </c>
      <c r="N728" s="4">
        <v>155</v>
      </c>
      <c r="O728" s="4" t="str">
        <f t="shared" si="22"/>
        <v>EMI</v>
      </c>
      <c r="P728" s="5">
        <f t="shared" si="23"/>
        <v>99440.131999999998</v>
      </c>
    </row>
    <row r="729" spans="1:16" x14ac:dyDescent="0.25">
      <c r="A729" s="4">
        <v>2016</v>
      </c>
      <c r="B729" s="4">
        <v>9</v>
      </c>
      <c r="C729" s="12" t="s">
        <v>36</v>
      </c>
      <c r="D729" s="4" t="s">
        <v>32</v>
      </c>
      <c r="E729" s="4" t="s">
        <v>18</v>
      </c>
      <c r="F729" s="4" t="s">
        <v>25</v>
      </c>
      <c r="G729" s="5">
        <v>37809</v>
      </c>
      <c r="H729" s="5">
        <v>126208</v>
      </c>
      <c r="I729" s="4">
        <v>57</v>
      </c>
      <c r="J729" s="4">
        <v>0.97</v>
      </c>
      <c r="K729" s="4">
        <v>6.29</v>
      </c>
      <c r="L729" s="4">
        <v>1.2</v>
      </c>
      <c r="M729" s="4">
        <v>10</v>
      </c>
      <c r="N729" s="4">
        <v>529</v>
      </c>
      <c r="O729" s="4" t="str">
        <f t="shared" si="22"/>
        <v>EMI</v>
      </c>
      <c r="P729" s="5">
        <f t="shared" si="23"/>
        <v>38262.707999999999</v>
      </c>
    </row>
    <row r="730" spans="1:16" x14ac:dyDescent="0.25">
      <c r="A730" s="4">
        <v>2020</v>
      </c>
      <c r="B730" s="4">
        <v>1</v>
      </c>
      <c r="C730" s="12" t="s">
        <v>30</v>
      </c>
      <c r="D730" s="4" t="s">
        <v>37</v>
      </c>
      <c r="E730" s="4" t="s">
        <v>18</v>
      </c>
      <c r="F730" s="4" t="s">
        <v>21</v>
      </c>
      <c r="G730" s="5">
        <v>76785</v>
      </c>
      <c r="H730" s="5">
        <v>199001</v>
      </c>
      <c r="I730" s="4">
        <v>322</v>
      </c>
      <c r="J730" s="4">
        <v>0.97</v>
      </c>
      <c r="K730" s="4">
        <v>6.29</v>
      </c>
      <c r="L730" s="4">
        <v>1.2</v>
      </c>
      <c r="M730" s="4">
        <v>4</v>
      </c>
      <c r="N730" s="4">
        <v>744</v>
      </c>
      <c r="O730" s="4" t="str">
        <f t="shared" si="22"/>
        <v>EMI</v>
      </c>
      <c r="P730" s="5">
        <f t="shared" si="23"/>
        <v>77706.42</v>
      </c>
    </row>
    <row r="731" spans="1:16" x14ac:dyDescent="0.25">
      <c r="A731" s="4">
        <v>2019</v>
      </c>
      <c r="B731" s="4">
        <v>12</v>
      </c>
      <c r="C731" s="12" t="s">
        <v>33</v>
      </c>
      <c r="D731" s="4" t="s">
        <v>13</v>
      </c>
      <c r="E731" s="4" t="s">
        <v>17</v>
      </c>
      <c r="F731" s="4" t="s">
        <v>15</v>
      </c>
      <c r="G731" s="5">
        <v>71547</v>
      </c>
      <c r="H731" s="5">
        <v>281226</v>
      </c>
      <c r="I731" s="4">
        <v>380</v>
      </c>
      <c r="J731" s="4">
        <v>0.97</v>
      </c>
      <c r="K731" s="4">
        <v>6.29</v>
      </c>
      <c r="L731" s="4">
        <v>1.2</v>
      </c>
      <c r="M731" s="4">
        <v>5</v>
      </c>
      <c r="N731" s="4">
        <v>1087</v>
      </c>
      <c r="O731" s="4" t="str">
        <f t="shared" si="22"/>
        <v>EMI</v>
      </c>
      <c r="P731" s="5">
        <f t="shared" si="23"/>
        <v>72405.563999999998</v>
      </c>
    </row>
    <row r="732" spans="1:16" x14ac:dyDescent="0.25">
      <c r="A732" s="4">
        <v>2016</v>
      </c>
      <c r="B732" s="4">
        <v>9</v>
      </c>
      <c r="C732" s="12" t="s">
        <v>33</v>
      </c>
      <c r="D732" s="4" t="s">
        <v>32</v>
      </c>
      <c r="E732" s="4" t="s">
        <v>18</v>
      </c>
      <c r="F732" s="4" t="s">
        <v>21</v>
      </c>
      <c r="G732" s="5">
        <v>77818</v>
      </c>
      <c r="H732" s="5">
        <v>497421</v>
      </c>
      <c r="I732" s="4">
        <v>300</v>
      </c>
      <c r="J732" s="4">
        <v>0.97</v>
      </c>
      <c r="K732" s="4">
        <v>6.29</v>
      </c>
      <c r="L732" s="4">
        <v>1.2</v>
      </c>
      <c r="M732" s="4">
        <v>4</v>
      </c>
      <c r="N732" s="4">
        <v>684</v>
      </c>
      <c r="O732" s="4" t="str">
        <f t="shared" si="22"/>
        <v>EMI</v>
      </c>
      <c r="P732" s="5">
        <f t="shared" si="23"/>
        <v>78751.816000000006</v>
      </c>
    </row>
    <row r="733" spans="1:16" x14ac:dyDescent="0.25">
      <c r="A733" s="4">
        <v>2017</v>
      </c>
      <c r="B733" s="4">
        <v>6</v>
      </c>
      <c r="C733" s="12" t="s">
        <v>12</v>
      </c>
      <c r="D733" s="4" t="s">
        <v>37</v>
      </c>
      <c r="E733" s="4" t="s">
        <v>18</v>
      </c>
      <c r="F733" s="4" t="s">
        <v>21</v>
      </c>
      <c r="G733" s="5">
        <v>106927</v>
      </c>
      <c r="H733" s="5">
        <v>291766</v>
      </c>
      <c r="I733" s="4">
        <v>341</v>
      </c>
      <c r="J733" s="4">
        <v>0.97</v>
      </c>
      <c r="K733" s="4">
        <v>6.29</v>
      </c>
      <c r="L733" s="4">
        <v>1.2</v>
      </c>
      <c r="M733" s="4">
        <v>6</v>
      </c>
      <c r="N733" s="4">
        <v>933</v>
      </c>
      <c r="O733" s="4" t="str">
        <f t="shared" si="22"/>
        <v>EMI</v>
      </c>
      <c r="P733" s="5">
        <f t="shared" si="23"/>
        <v>108210.124</v>
      </c>
    </row>
    <row r="734" spans="1:16" x14ac:dyDescent="0.25">
      <c r="A734" s="4">
        <v>2023</v>
      </c>
      <c r="B734" s="4">
        <v>6</v>
      </c>
      <c r="C734" s="12" t="s">
        <v>23</v>
      </c>
      <c r="D734" s="4" t="s">
        <v>32</v>
      </c>
      <c r="E734" s="4" t="s">
        <v>17</v>
      </c>
      <c r="F734" s="4" t="s">
        <v>18</v>
      </c>
      <c r="G734" s="5">
        <v>100681</v>
      </c>
      <c r="H734" s="5">
        <v>245413</v>
      </c>
      <c r="I734" s="4">
        <v>103</v>
      </c>
      <c r="J734" s="4">
        <v>0.97</v>
      </c>
      <c r="K734" s="4">
        <v>6.29</v>
      </c>
      <c r="L734" s="4">
        <v>1.2</v>
      </c>
      <c r="M734" s="4">
        <v>3</v>
      </c>
      <c r="N734" s="4">
        <v>235</v>
      </c>
      <c r="O734" s="4" t="str">
        <f t="shared" si="22"/>
        <v>EMI</v>
      </c>
      <c r="P734" s="5">
        <f t="shared" si="23"/>
        <v>101889.17200000001</v>
      </c>
    </row>
    <row r="735" spans="1:16" x14ac:dyDescent="0.25">
      <c r="A735" s="4">
        <v>2021</v>
      </c>
      <c r="B735" s="4">
        <v>12</v>
      </c>
      <c r="C735" s="12" t="s">
        <v>30</v>
      </c>
      <c r="D735" s="4" t="s">
        <v>16</v>
      </c>
      <c r="E735" s="4" t="s">
        <v>18</v>
      </c>
      <c r="F735" s="4" t="s">
        <v>15</v>
      </c>
      <c r="G735" s="5">
        <v>114465</v>
      </c>
      <c r="H735" s="5">
        <v>407521</v>
      </c>
      <c r="I735" s="4">
        <v>270</v>
      </c>
      <c r="J735" s="4">
        <v>0.97</v>
      </c>
      <c r="K735" s="4">
        <v>6.29</v>
      </c>
      <c r="L735" s="4">
        <v>1.2</v>
      </c>
      <c r="M735" s="4">
        <v>8</v>
      </c>
      <c r="N735" s="4">
        <v>553</v>
      </c>
      <c r="O735" s="4" t="str">
        <f t="shared" si="22"/>
        <v>EMI</v>
      </c>
      <c r="P735" s="5">
        <f t="shared" si="23"/>
        <v>115838.58</v>
      </c>
    </row>
    <row r="736" spans="1:16" x14ac:dyDescent="0.25">
      <c r="A736" s="4">
        <v>2021</v>
      </c>
      <c r="B736" s="4">
        <v>4</v>
      </c>
      <c r="C736" s="12" t="s">
        <v>33</v>
      </c>
      <c r="D736" s="4" t="s">
        <v>37</v>
      </c>
      <c r="E736" s="4" t="s">
        <v>18</v>
      </c>
      <c r="F736" s="4" t="s">
        <v>21</v>
      </c>
      <c r="G736" s="5">
        <v>72333</v>
      </c>
      <c r="H736" s="5">
        <v>355007</v>
      </c>
      <c r="I736" s="4">
        <v>287</v>
      </c>
      <c r="J736" s="4">
        <v>0.97</v>
      </c>
      <c r="K736" s="4">
        <v>6.29</v>
      </c>
      <c r="L736" s="4">
        <v>1.2</v>
      </c>
      <c r="M736" s="4">
        <v>6</v>
      </c>
      <c r="N736" s="4">
        <v>644</v>
      </c>
      <c r="O736" s="4" t="str">
        <f t="shared" si="22"/>
        <v>EMI</v>
      </c>
      <c r="P736" s="5">
        <f t="shared" si="23"/>
        <v>73200.995999999999</v>
      </c>
    </row>
    <row r="737" spans="1:16" x14ac:dyDescent="0.25">
      <c r="A737" s="4">
        <v>2020</v>
      </c>
      <c r="B737" s="4">
        <v>1</v>
      </c>
      <c r="C737" s="12" t="s">
        <v>30</v>
      </c>
      <c r="D737" s="4" t="s">
        <v>16</v>
      </c>
      <c r="E737" s="4" t="s">
        <v>17</v>
      </c>
      <c r="F737" s="4" t="s">
        <v>21</v>
      </c>
      <c r="G737" s="5">
        <v>51576</v>
      </c>
      <c r="H737" s="5">
        <v>262909</v>
      </c>
      <c r="I737" s="4">
        <v>368</v>
      </c>
      <c r="J737" s="4">
        <v>0.97</v>
      </c>
      <c r="K737" s="4">
        <v>6.29</v>
      </c>
      <c r="L737" s="4">
        <v>1.2</v>
      </c>
      <c r="M737" s="4">
        <v>10</v>
      </c>
      <c r="N737" s="4">
        <v>1073</v>
      </c>
      <c r="O737" s="4" t="str">
        <f t="shared" si="22"/>
        <v>EMI</v>
      </c>
      <c r="P737" s="5">
        <f t="shared" si="23"/>
        <v>52194.912000000004</v>
      </c>
    </row>
    <row r="738" spans="1:16" x14ac:dyDescent="0.25">
      <c r="A738" s="4">
        <v>2022</v>
      </c>
      <c r="B738" s="4">
        <v>10</v>
      </c>
      <c r="C738" s="12" t="s">
        <v>34</v>
      </c>
      <c r="D738" s="4" t="s">
        <v>20</v>
      </c>
      <c r="E738" s="4" t="s">
        <v>14</v>
      </c>
      <c r="F738" s="4" t="s">
        <v>15</v>
      </c>
      <c r="G738" s="5">
        <v>74405</v>
      </c>
      <c r="H738" s="5">
        <v>115439</v>
      </c>
      <c r="I738" s="4">
        <v>214</v>
      </c>
      <c r="J738" s="4">
        <v>0.97</v>
      </c>
      <c r="K738" s="4">
        <v>6.29</v>
      </c>
      <c r="L738" s="4">
        <v>1.2</v>
      </c>
      <c r="M738" s="4">
        <v>5</v>
      </c>
      <c r="N738" s="4">
        <v>597</v>
      </c>
      <c r="O738" s="4" t="str">
        <f t="shared" si="22"/>
        <v>EMI</v>
      </c>
      <c r="P738" s="5">
        <f t="shared" si="23"/>
        <v>75297.86</v>
      </c>
    </row>
    <row r="739" spans="1:16" x14ac:dyDescent="0.25">
      <c r="A739" s="4">
        <v>2018</v>
      </c>
      <c r="B739" s="4">
        <v>8</v>
      </c>
      <c r="C739" s="12" t="s">
        <v>30</v>
      </c>
      <c r="D739" s="4" t="s">
        <v>27</v>
      </c>
      <c r="E739" s="4" t="s">
        <v>17</v>
      </c>
      <c r="F739" s="4" t="s">
        <v>18</v>
      </c>
      <c r="G739" s="5">
        <v>108779</v>
      </c>
      <c r="H739" s="5">
        <v>188266</v>
      </c>
      <c r="I739" s="4">
        <v>194</v>
      </c>
      <c r="J739" s="4">
        <v>0.97</v>
      </c>
      <c r="K739" s="4">
        <v>6.29</v>
      </c>
      <c r="L739" s="4">
        <v>1.2</v>
      </c>
      <c r="M739" s="4">
        <v>2</v>
      </c>
      <c r="N739" s="4">
        <v>827</v>
      </c>
      <c r="O739" s="4" t="str">
        <f t="shared" si="22"/>
        <v>Full</v>
      </c>
      <c r="P739" s="5">
        <f t="shared" si="23"/>
        <v>108779</v>
      </c>
    </row>
    <row r="740" spans="1:16" x14ac:dyDescent="0.25">
      <c r="A740" s="4">
        <v>2022</v>
      </c>
      <c r="B740" s="4">
        <v>2</v>
      </c>
      <c r="C740" s="12" t="s">
        <v>28</v>
      </c>
      <c r="D740" s="4" t="s">
        <v>16</v>
      </c>
      <c r="E740" s="4" t="s">
        <v>18</v>
      </c>
      <c r="F740" s="4" t="s">
        <v>21</v>
      </c>
      <c r="G740" s="5">
        <v>66601</v>
      </c>
      <c r="H740" s="5">
        <v>252459</v>
      </c>
      <c r="I740" s="4">
        <v>184</v>
      </c>
      <c r="J740" s="4">
        <v>0.97</v>
      </c>
      <c r="K740" s="4">
        <v>6.29</v>
      </c>
      <c r="L740" s="4">
        <v>1.2</v>
      </c>
      <c r="M740" s="4">
        <v>10</v>
      </c>
      <c r="N740" s="4">
        <v>425</v>
      </c>
      <c r="O740" s="4" t="str">
        <f t="shared" si="22"/>
        <v>EMI</v>
      </c>
      <c r="P740" s="5">
        <f t="shared" si="23"/>
        <v>67400.212</v>
      </c>
    </row>
    <row r="741" spans="1:16" x14ac:dyDescent="0.25">
      <c r="A741" s="4">
        <v>2018</v>
      </c>
      <c r="B741" s="4">
        <v>12</v>
      </c>
      <c r="C741" s="12" t="s">
        <v>36</v>
      </c>
      <c r="D741" s="4" t="s">
        <v>24</v>
      </c>
      <c r="E741" s="4" t="s">
        <v>18</v>
      </c>
      <c r="F741" s="4" t="s">
        <v>25</v>
      </c>
      <c r="G741" s="5">
        <v>102946</v>
      </c>
      <c r="H741" s="5">
        <v>171361</v>
      </c>
      <c r="I741" s="4">
        <v>396</v>
      </c>
      <c r="J741" s="4">
        <v>0.97</v>
      </c>
      <c r="K741" s="4">
        <v>6.29</v>
      </c>
      <c r="L741" s="4">
        <v>1.2</v>
      </c>
      <c r="M741" s="4">
        <v>10</v>
      </c>
      <c r="N741" s="4">
        <v>869</v>
      </c>
      <c r="O741" s="4" t="str">
        <f t="shared" si="22"/>
        <v>EMI</v>
      </c>
      <c r="P741" s="5">
        <f t="shared" si="23"/>
        <v>104181.352</v>
      </c>
    </row>
    <row r="742" spans="1:16" x14ac:dyDescent="0.25">
      <c r="A742" s="4">
        <v>2022</v>
      </c>
      <c r="B742" s="4">
        <v>1</v>
      </c>
      <c r="C742" s="12" t="s">
        <v>33</v>
      </c>
      <c r="D742" s="4" t="s">
        <v>32</v>
      </c>
      <c r="E742" s="4" t="s">
        <v>18</v>
      </c>
      <c r="F742" s="4" t="s">
        <v>21</v>
      </c>
      <c r="G742" s="5">
        <v>102356</v>
      </c>
      <c r="H742" s="5">
        <v>262986</v>
      </c>
      <c r="I742" s="4">
        <v>389</v>
      </c>
      <c r="J742" s="4">
        <v>0.97</v>
      </c>
      <c r="K742" s="4">
        <v>6.29</v>
      </c>
      <c r="L742" s="4">
        <v>1.2</v>
      </c>
      <c r="M742" s="4">
        <v>7</v>
      </c>
      <c r="N742" s="4">
        <v>1067</v>
      </c>
      <c r="O742" s="4" t="str">
        <f t="shared" si="22"/>
        <v>EMI</v>
      </c>
      <c r="P742" s="5">
        <f t="shared" si="23"/>
        <v>103584.272</v>
      </c>
    </row>
    <row r="743" spans="1:16" x14ac:dyDescent="0.25">
      <c r="A743" s="4">
        <v>2023</v>
      </c>
      <c r="B743" s="4">
        <v>2</v>
      </c>
      <c r="C743" s="12" t="s">
        <v>30</v>
      </c>
      <c r="D743" s="4" t="s">
        <v>22</v>
      </c>
      <c r="E743" s="4" t="s">
        <v>17</v>
      </c>
      <c r="F743" s="4" t="s">
        <v>25</v>
      </c>
      <c r="G743" s="5">
        <v>87116</v>
      </c>
      <c r="H743" s="5">
        <v>247286</v>
      </c>
      <c r="I743" s="4">
        <v>318</v>
      </c>
      <c r="J743" s="4">
        <v>0.97</v>
      </c>
      <c r="K743" s="4">
        <v>6.29</v>
      </c>
      <c r="L743" s="4">
        <v>1.2</v>
      </c>
      <c r="M743" s="4">
        <v>2</v>
      </c>
      <c r="N743" s="4">
        <v>816</v>
      </c>
      <c r="O743" s="4" t="str">
        <f t="shared" si="22"/>
        <v>Full</v>
      </c>
      <c r="P743" s="5">
        <f t="shared" si="23"/>
        <v>87116</v>
      </c>
    </row>
    <row r="744" spans="1:16" x14ac:dyDescent="0.25">
      <c r="A744" s="4">
        <v>2017</v>
      </c>
      <c r="B744" s="4">
        <v>1</v>
      </c>
      <c r="C744" s="12" t="s">
        <v>12</v>
      </c>
      <c r="D744" s="4" t="s">
        <v>31</v>
      </c>
      <c r="E744" s="4" t="s">
        <v>18</v>
      </c>
      <c r="F744" s="4" t="s">
        <v>18</v>
      </c>
      <c r="G744" s="5">
        <v>97894</v>
      </c>
      <c r="H744" s="5">
        <v>408320</v>
      </c>
      <c r="I744" s="4">
        <v>78</v>
      </c>
      <c r="J744" s="4">
        <v>0.97</v>
      </c>
      <c r="K744" s="4">
        <v>6.29</v>
      </c>
      <c r="L744" s="4">
        <v>1.2</v>
      </c>
      <c r="M744" s="4">
        <v>1</v>
      </c>
      <c r="N744" s="4">
        <v>457</v>
      </c>
      <c r="O744" s="4" t="str">
        <f t="shared" si="22"/>
        <v>Discount</v>
      </c>
      <c r="P744" s="5">
        <f t="shared" si="23"/>
        <v>88104.6</v>
      </c>
    </row>
    <row r="745" spans="1:16" x14ac:dyDescent="0.25">
      <c r="A745" s="4">
        <v>2017</v>
      </c>
      <c r="B745" s="4">
        <v>1</v>
      </c>
      <c r="C745" s="12" t="s">
        <v>19</v>
      </c>
      <c r="D745" s="4" t="s">
        <v>37</v>
      </c>
      <c r="E745" s="4" t="s">
        <v>18</v>
      </c>
      <c r="F745" s="4" t="s">
        <v>21</v>
      </c>
      <c r="G745" s="5">
        <v>69635</v>
      </c>
      <c r="H745" s="5">
        <v>79777</v>
      </c>
      <c r="I745" s="4">
        <v>113</v>
      </c>
      <c r="J745" s="4">
        <v>0.97</v>
      </c>
      <c r="K745" s="4">
        <v>6.29</v>
      </c>
      <c r="L745" s="4">
        <v>1.2</v>
      </c>
      <c r="M745" s="4">
        <v>7</v>
      </c>
      <c r="N745" s="4">
        <v>533</v>
      </c>
      <c r="O745" s="4" t="str">
        <f t="shared" si="22"/>
        <v>EMI</v>
      </c>
      <c r="P745" s="5">
        <f t="shared" si="23"/>
        <v>70470.62</v>
      </c>
    </row>
    <row r="746" spans="1:16" x14ac:dyDescent="0.25">
      <c r="A746" s="4">
        <v>2016</v>
      </c>
      <c r="B746" s="4">
        <v>9</v>
      </c>
      <c r="C746" s="12" t="s">
        <v>28</v>
      </c>
      <c r="D746" s="4" t="s">
        <v>13</v>
      </c>
      <c r="E746" s="4" t="s">
        <v>17</v>
      </c>
      <c r="F746" s="4" t="s">
        <v>15</v>
      </c>
      <c r="G746" s="5">
        <v>42465</v>
      </c>
      <c r="H746" s="5">
        <v>306427</v>
      </c>
      <c r="I746" s="4">
        <v>255</v>
      </c>
      <c r="J746" s="4">
        <v>0.97</v>
      </c>
      <c r="K746" s="4">
        <v>6.29</v>
      </c>
      <c r="L746" s="4">
        <v>1.2</v>
      </c>
      <c r="M746" s="4">
        <v>5</v>
      </c>
      <c r="N746" s="4">
        <v>775</v>
      </c>
      <c r="O746" s="4" t="str">
        <f t="shared" si="22"/>
        <v>EMI</v>
      </c>
      <c r="P746" s="5">
        <f t="shared" si="23"/>
        <v>42974.58</v>
      </c>
    </row>
    <row r="747" spans="1:16" x14ac:dyDescent="0.25">
      <c r="A747" s="4">
        <v>2024</v>
      </c>
      <c r="B747" s="4">
        <v>1</v>
      </c>
      <c r="C747" s="12" t="s">
        <v>28</v>
      </c>
      <c r="D747" s="4" t="s">
        <v>22</v>
      </c>
      <c r="E747" s="4" t="s">
        <v>14</v>
      </c>
      <c r="F747" s="4" t="s">
        <v>15</v>
      </c>
      <c r="G747" s="5">
        <v>91754</v>
      </c>
      <c r="H747" s="5">
        <v>207255</v>
      </c>
      <c r="I747" s="4">
        <v>170</v>
      </c>
      <c r="J747" s="4">
        <v>0.97</v>
      </c>
      <c r="K747" s="4">
        <v>6.29</v>
      </c>
      <c r="L747" s="4">
        <v>1.2</v>
      </c>
      <c r="M747" s="4">
        <v>1</v>
      </c>
      <c r="N747" s="4">
        <v>683</v>
      </c>
      <c r="O747" s="4" t="str">
        <f t="shared" si="22"/>
        <v>Full</v>
      </c>
      <c r="P747" s="5">
        <f t="shared" si="23"/>
        <v>91754</v>
      </c>
    </row>
    <row r="748" spans="1:16" x14ac:dyDescent="0.25">
      <c r="A748" s="4">
        <v>2017</v>
      </c>
      <c r="B748" s="4">
        <v>4</v>
      </c>
      <c r="C748" s="12" t="s">
        <v>23</v>
      </c>
      <c r="D748" s="4" t="s">
        <v>24</v>
      </c>
      <c r="E748" s="4" t="s">
        <v>14</v>
      </c>
      <c r="F748" s="4" t="s">
        <v>21</v>
      </c>
      <c r="G748" s="5">
        <v>73871</v>
      </c>
      <c r="H748" s="5">
        <v>470661</v>
      </c>
      <c r="I748" s="4">
        <v>209</v>
      </c>
      <c r="J748" s="4">
        <v>0.97</v>
      </c>
      <c r="K748" s="4">
        <v>6.29</v>
      </c>
      <c r="L748" s="4">
        <v>1.2</v>
      </c>
      <c r="M748" s="4">
        <v>4</v>
      </c>
      <c r="N748" s="4">
        <v>525</v>
      </c>
      <c r="O748" s="4" t="str">
        <f t="shared" si="22"/>
        <v>EMI</v>
      </c>
      <c r="P748" s="5">
        <f t="shared" si="23"/>
        <v>74757.452000000005</v>
      </c>
    </row>
    <row r="749" spans="1:16" x14ac:dyDescent="0.25">
      <c r="A749" s="4">
        <v>2017</v>
      </c>
      <c r="B749" s="4">
        <v>10</v>
      </c>
      <c r="C749" s="12" t="s">
        <v>30</v>
      </c>
      <c r="D749" s="4" t="s">
        <v>16</v>
      </c>
      <c r="E749" s="4" t="s">
        <v>18</v>
      </c>
      <c r="F749" s="4" t="s">
        <v>18</v>
      </c>
      <c r="G749" s="5">
        <v>97874</v>
      </c>
      <c r="H749" s="5">
        <v>248110</v>
      </c>
      <c r="I749" s="4">
        <v>225</v>
      </c>
      <c r="J749" s="4">
        <v>0.97</v>
      </c>
      <c r="K749" s="4">
        <v>6.29</v>
      </c>
      <c r="L749" s="4">
        <v>1.2</v>
      </c>
      <c r="M749" s="4">
        <v>4</v>
      </c>
      <c r="N749" s="4">
        <v>482</v>
      </c>
      <c r="O749" s="4" t="str">
        <f t="shared" si="22"/>
        <v>EMI</v>
      </c>
      <c r="P749" s="5">
        <f t="shared" si="23"/>
        <v>99048.487999999998</v>
      </c>
    </row>
    <row r="750" spans="1:16" x14ac:dyDescent="0.25">
      <c r="A750" s="4">
        <v>2019</v>
      </c>
      <c r="B750" s="4">
        <v>6</v>
      </c>
      <c r="C750" s="12" t="s">
        <v>23</v>
      </c>
      <c r="D750" s="4" t="s">
        <v>27</v>
      </c>
      <c r="E750" s="4" t="s">
        <v>17</v>
      </c>
      <c r="F750" s="4" t="s">
        <v>18</v>
      </c>
      <c r="G750" s="5">
        <v>112733</v>
      </c>
      <c r="H750" s="5">
        <v>399345</v>
      </c>
      <c r="I750" s="4">
        <v>221</v>
      </c>
      <c r="J750" s="4">
        <v>0.97</v>
      </c>
      <c r="K750" s="4">
        <v>6.29</v>
      </c>
      <c r="L750" s="4">
        <v>1.2</v>
      </c>
      <c r="M750" s="4">
        <v>10</v>
      </c>
      <c r="N750" s="4">
        <v>861</v>
      </c>
      <c r="O750" s="4" t="str">
        <f t="shared" si="22"/>
        <v>EMI</v>
      </c>
      <c r="P750" s="5">
        <f t="shared" si="23"/>
        <v>114085.796</v>
      </c>
    </row>
    <row r="751" spans="1:16" x14ac:dyDescent="0.25">
      <c r="A751" s="4">
        <v>2019</v>
      </c>
      <c r="B751" s="4">
        <v>7</v>
      </c>
      <c r="C751" s="12" t="s">
        <v>23</v>
      </c>
      <c r="D751" s="4" t="s">
        <v>20</v>
      </c>
      <c r="E751" s="4" t="s">
        <v>18</v>
      </c>
      <c r="F751" s="4" t="s">
        <v>15</v>
      </c>
      <c r="G751" s="5">
        <v>64511</v>
      </c>
      <c r="H751" s="5">
        <v>459414</v>
      </c>
      <c r="I751" s="4">
        <v>25</v>
      </c>
      <c r="J751" s="4">
        <v>0.97</v>
      </c>
      <c r="K751" s="4">
        <v>6.29</v>
      </c>
      <c r="L751" s="4">
        <v>1.2</v>
      </c>
      <c r="M751" s="4">
        <v>7</v>
      </c>
      <c r="N751" s="4">
        <v>193</v>
      </c>
      <c r="O751" s="4" t="str">
        <f t="shared" si="22"/>
        <v>EMI</v>
      </c>
      <c r="P751" s="5">
        <f t="shared" si="23"/>
        <v>65285.131999999998</v>
      </c>
    </row>
    <row r="752" spans="1:16" x14ac:dyDescent="0.25">
      <c r="A752" s="4">
        <v>2016</v>
      </c>
      <c r="B752" s="4">
        <v>2</v>
      </c>
      <c r="C752" s="12" t="s">
        <v>19</v>
      </c>
      <c r="D752" s="4" t="s">
        <v>31</v>
      </c>
      <c r="E752" s="4" t="s">
        <v>17</v>
      </c>
      <c r="F752" s="4" t="s">
        <v>21</v>
      </c>
      <c r="G752" s="5">
        <v>115960</v>
      </c>
      <c r="H752" s="5">
        <v>464627</v>
      </c>
      <c r="I752" s="4">
        <v>381</v>
      </c>
      <c r="J752" s="4">
        <v>0.97</v>
      </c>
      <c r="K752" s="4">
        <v>6.29</v>
      </c>
      <c r="L752" s="4">
        <v>1.2</v>
      </c>
      <c r="M752" s="4">
        <v>9</v>
      </c>
      <c r="N752" s="4">
        <v>805</v>
      </c>
      <c r="O752" s="4" t="str">
        <f t="shared" si="22"/>
        <v>EMI</v>
      </c>
      <c r="P752" s="5">
        <f t="shared" si="23"/>
        <v>117351.52</v>
      </c>
    </row>
    <row r="753" spans="1:16" x14ac:dyDescent="0.25">
      <c r="A753" s="4">
        <v>2024</v>
      </c>
      <c r="B753" s="4">
        <v>6</v>
      </c>
      <c r="C753" s="12" t="s">
        <v>34</v>
      </c>
      <c r="D753" s="4" t="s">
        <v>29</v>
      </c>
      <c r="E753" s="4" t="s">
        <v>17</v>
      </c>
      <c r="F753" s="4" t="s">
        <v>18</v>
      </c>
      <c r="G753" s="5">
        <v>83821</v>
      </c>
      <c r="H753" s="5">
        <v>231649</v>
      </c>
      <c r="I753" s="4">
        <v>341</v>
      </c>
      <c r="J753" s="4">
        <v>0.97</v>
      </c>
      <c r="K753" s="4">
        <v>6.29</v>
      </c>
      <c r="L753" s="4">
        <v>1.2</v>
      </c>
      <c r="M753" s="4">
        <v>2</v>
      </c>
      <c r="N753" s="4">
        <v>883</v>
      </c>
      <c r="O753" s="4" t="str">
        <f t="shared" si="22"/>
        <v>Full</v>
      </c>
      <c r="P753" s="5">
        <f t="shared" si="23"/>
        <v>83821</v>
      </c>
    </row>
    <row r="754" spans="1:16" x14ac:dyDescent="0.25">
      <c r="A754" s="4">
        <v>2020</v>
      </c>
      <c r="B754" s="4">
        <v>7</v>
      </c>
      <c r="C754" s="12" t="s">
        <v>30</v>
      </c>
      <c r="D754" s="4" t="s">
        <v>22</v>
      </c>
      <c r="E754" s="4" t="s">
        <v>14</v>
      </c>
      <c r="F754" s="4" t="s">
        <v>15</v>
      </c>
      <c r="G754" s="5">
        <v>100776</v>
      </c>
      <c r="H754" s="5">
        <v>328011</v>
      </c>
      <c r="I754" s="4">
        <v>214</v>
      </c>
      <c r="J754" s="4">
        <v>0.97</v>
      </c>
      <c r="K754" s="4">
        <v>6.29</v>
      </c>
      <c r="L754" s="4">
        <v>1.2</v>
      </c>
      <c r="M754" s="4">
        <v>1</v>
      </c>
      <c r="N754" s="4">
        <v>714</v>
      </c>
      <c r="O754" s="4" t="str">
        <f t="shared" si="22"/>
        <v>Discount</v>
      </c>
      <c r="P754" s="5">
        <f t="shared" si="23"/>
        <v>90698.400000000009</v>
      </c>
    </row>
    <row r="755" spans="1:16" x14ac:dyDescent="0.25">
      <c r="A755" s="4">
        <v>2019</v>
      </c>
      <c r="B755" s="4">
        <v>10</v>
      </c>
      <c r="C755" s="12" t="s">
        <v>26</v>
      </c>
      <c r="D755" s="4" t="s">
        <v>27</v>
      </c>
      <c r="E755" s="4" t="s">
        <v>14</v>
      </c>
      <c r="F755" s="4" t="s">
        <v>25</v>
      </c>
      <c r="G755" s="5">
        <v>105167</v>
      </c>
      <c r="H755" s="5">
        <v>112501</v>
      </c>
      <c r="I755" s="4">
        <v>374</v>
      </c>
      <c r="J755" s="4">
        <v>0.97</v>
      </c>
      <c r="K755" s="4">
        <v>6.29</v>
      </c>
      <c r="L755" s="4">
        <v>1.2</v>
      </c>
      <c r="M755" s="4">
        <v>2</v>
      </c>
      <c r="N755" s="4">
        <v>824</v>
      </c>
      <c r="O755" s="4" t="str">
        <f t="shared" si="22"/>
        <v>Full</v>
      </c>
      <c r="P755" s="5">
        <f t="shared" si="23"/>
        <v>105167</v>
      </c>
    </row>
    <row r="756" spans="1:16" x14ac:dyDescent="0.25">
      <c r="A756" s="4">
        <v>2020</v>
      </c>
      <c r="B756" s="4">
        <v>10</v>
      </c>
      <c r="C756" s="12" t="s">
        <v>33</v>
      </c>
      <c r="D756" s="4" t="s">
        <v>29</v>
      </c>
      <c r="E756" s="4" t="s">
        <v>17</v>
      </c>
      <c r="F756" s="4" t="s">
        <v>21</v>
      </c>
      <c r="G756" s="5">
        <v>110135</v>
      </c>
      <c r="H756" s="5">
        <v>195338</v>
      </c>
      <c r="I756" s="4">
        <v>48</v>
      </c>
      <c r="J756" s="4">
        <v>0.97</v>
      </c>
      <c r="K756" s="4">
        <v>6.29</v>
      </c>
      <c r="L756" s="4">
        <v>1.2</v>
      </c>
      <c r="M756" s="4">
        <v>7</v>
      </c>
      <c r="N756" s="4">
        <v>347</v>
      </c>
      <c r="O756" s="4" t="str">
        <f t="shared" si="22"/>
        <v>EMI</v>
      </c>
      <c r="P756" s="5">
        <f t="shared" si="23"/>
        <v>111456.62</v>
      </c>
    </row>
    <row r="757" spans="1:16" x14ac:dyDescent="0.25">
      <c r="A757" s="4">
        <v>2015</v>
      </c>
      <c r="B757" s="4">
        <v>2</v>
      </c>
      <c r="C757" s="12" t="s">
        <v>23</v>
      </c>
      <c r="D757" s="4" t="s">
        <v>31</v>
      </c>
      <c r="E757" s="4" t="s">
        <v>18</v>
      </c>
      <c r="F757" s="4" t="s">
        <v>25</v>
      </c>
      <c r="G757" s="5">
        <v>79462</v>
      </c>
      <c r="H757" s="5">
        <v>351566</v>
      </c>
      <c r="I757" s="4">
        <v>98</v>
      </c>
      <c r="J757" s="4">
        <v>0.97</v>
      </c>
      <c r="K757" s="4">
        <v>6.29</v>
      </c>
      <c r="L757" s="4">
        <v>1.2</v>
      </c>
      <c r="M757" s="4">
        <v>10</v>
      </c>
      <c r="N757" s="4">
        <v>298</v>
      </c>
      <c r="O757" s="4" t="str">
        <f t="shared" si="22"/>
        <v>EMI</v>
      </c>
      <c r="P757" s="5">
        <f t="shared" si="23"/>
        <v>80415.543999999994</v>
      </c>
    </row>
    <row r="758" spans="1:16" x14ac:dyDescent="0.25">
      <c r="A758" s="4">
        <v>2019</v>
      </c>
      <c r="B758" s="4">
        <v>2</v>
      </c>
      <c r="C758" s="12" t="s">
        <v>36</v>
      </c>
      <c r="D758" s="4" t="s">
        <v>13</v>
      </c>
      <c r="E758" s="4" t="s">
        <v>14</v>
      </c>
      <c r="F758" s="4" t="s">
        <v>25</v>
      </c>
      <c r="G758" s="5">
        <v>96382</v>
      </c>
      <c r="H758" s="5">
        <v>216280</v>
      </c>
      <c r="I758" s="4">
        <v>265</v>
      </c>
      <c r="J758" s="4">
        <v>0.97</v>
      </c>
      <c r="K758" s="4">
        <v>6.29</v>
      </c>
      <c r="L758" s="4">
        <v>1.2</v>
      </c>
      <c r="M758" s="4">
        <v>6</v>
      </c>
      <c r="N758" s="4">
        <v>596</v>
      </c>
      <c r="O758" s="4" t="str">
        <f t="shared" si="22"/>
        <v>EMI</v>
      </c>
      <c r="P758" s="5">
        <f t="shared" si="23"/>
        <v>97538.584000000003</v>
      </c>
    </row>
    <row r="759" spans="1:16" x14ac:dyDescent="0.25">
      <c r="A759" s="4">
        <v>2023</v>
      </c>
      <c r="B759" s="4">
        <v>10</v>
      </c>
      <c r="C759" s="12" t="s">
        <v>35</v>
      </c>
      <c r="D759" s="4" t="s">
        <v>13</v>
      </c>
      <c r="E759" s="4" t="s">
        <v>18</v>
      </c>
      <c r="F759" s="4" t="s">
        <v>18</v>
      </c>
      <c r="G759" s="5">
        <v>67574</v>
      </c>
      <c r="H759" s="5">
        <v>171544</v>
      </c>
      <c r="I759" s="4">
        <v>263</v>
      </c>
      <c r="J759" s="4">
        <v>0.97</v>
      </c>
      <c r="K759" s="4">
        <v>6.29</v>
      </c>
      <c r="L759" s="4">
        <v>1.2</v>
      </c>
      <c r="M759" s="4">
        <v>4</v>
      </c>
      <c r="N759" s="4">
        <v>713</v>
      </c>
      <c r="O759" s="4" t="str">
        <f t="shared" si="22"/>
        <v>EMI</v>
      </c>
      <c r="P759" s="5">
        <f t="shared" si="23"/>
        <v>68384.888000000006</v>
      </c>
    </row>
    <row r="760" spans="1:16" x14ac:dyDescent="0.25">
      <c r="A760" s="4">
        <v>2024</v>
      </c>
      <c r="B760" s="4">
        <v>7</v>
      </c>
      <c r="C760" s="12" t="s">
        <v>36</v>
      </c>
      <c r="D760" s="4" t="s">
        <v>32</v>
      </c>
      <c r="E760" s="4" t="s">
        <v>14</v>
      </c>
      <c r="F760" s="4" t="s">
        <v>18</v>
      </c>
      <c r="G760" s="5">
        <v>76910</v>
      </c>
      <c r="H760" s="5">
        <v>474429</v>
      </c>
      <c r="I760" s="4">
        <v>225</v>
      </c>
      <c r="J760" s="4">
        <v>0.97</v>
      </c>
      <c r="K760" s="4">
        <v>6.29</v>
      </c>
      <c r="L760" s="4">
        <v>1.2</v>
      </c>
      <c r="M760" s="4">
        <v>1</v>
      </c>
      <c r="N760" s="4">
        <v>686</v>
      </c>
      <c r="O760" s="4" t="str">
        <f t="shared" si="22"/>
        <v>Discount</v>
      </c>
      <c r="P760" s="5">
        <f t="shared" si="23"/>
        <v>69219</v>
      </c>
    </row>
    <row r="761" spans="1:16" x14ac:dyDescent="0.25">
      <c r="A761" s="4">
        <v>2016</v>
      </c>
      <c r="B761" s="4">
        <v>12</v>
      </c>
      <c r="C761" s="12" t="s">
        <v>19</v>
      </c>
      <c r="D761" s="4" t="s">
        <v>31</v>
      </c>
      <c r="E761" s="4" t="s">
        <v>14</v>
      </c>
      <c r="F761" s="4" t="s">
        <v>18</v>
      </c>
      <c r="G761" s="5">
        <v>108531</v>
      </c>
      <c r="H761" s="5">
        <v>188439</v>
      </c>
      <c r="I761" s="4">
        <v>377</v>
      </c>
      <c r="J761" s="4">
        <v>0.97</v>
      </c>
      <c r="K761" s="4">
        <v>6.29</v>
      </c>
      <c r="L761" s="4">
        <v>1.2</v>
      </c>
      <c r="M761" s="4">
        <v>1</v>
      </c>
      <c r="N761" s="4">
        <v>785</v>
      </c>
      <c r="O761" s="4" t="str">
        <f t="shared" si="22"/>
        <v>Full</v>
      </c>
      <c r="P761" s="5">
        <f t="shared" si="23"/>
        <v>108531</v>
      </c>
    </row>
    <row r="762" spans="1:16" x14ac:dyDescent="0.25">
      <c r="A762" s="4">
        <v>2015</v>
      </c>
      <c r="B762" s="4">
        <v>1</v>
      </c>
      <c r="C762" s="12" t="s">
        <v>19</v>
      </c>
      <c r="D762" s="4" t="s">
        <v>31</v>
      </c>
      <c r="E762" s="4" t="s">
        <v>18</v>
      </c>
      <c r="F762" s="4" t="s">
        <v>21</v>
      </c>
      <c r="G762" s="5">
        <v>60186</v>
      </c>
      <c r="H762" s="5">
        <v>305230</v>
      </c>
      <c r="I762" s="4">
        <v>312</v>
      </c>
      <c r="J762" s="4">
        <v>0.97</v>
      </c>
      <c r="K762" s="4">
        <v>6.29</v>
      </c>
      <c r="L762" s="4">
        <v>1.2</v>
      </c>
      <c r="M762" s="4">
        <v>5</v>
      </c>
      <c r="N762" s="4">
        <v>922</v>
      </c>
      <c r="O762" s="4" t="str">
        <f t="shared" si="22"/>
        <v>EMI</v>
      </c>
      <c r="P762" s="5">
        <f t="shared" si="23"/>
        <v>60908.232000000004</v>
      </c>
    </row>
    <row r="763" spans="1:16" x14ac:dyDescent="0.25">
      <c r="A763" s="4">
        <v>2024</v>
      </c>
      <c r="B763" s="4">
        <v>8</v>
      </c>
      <c r="C763" s="12" t="s">
        <v>12</v>
      </c>
      <c r="D763" s="4" t="s">
        <v>29</v>
      </c>
      <c r="E763" s="4" t="s">
        <v>14</v>
      </c>
      <c r="F763" s="4" t="s">
        <v>25</v>
      </c>
      <c r="G763" s="5">
        <v>57813</v>
      </c>
      <c r="H763" s="5">
        <v>85362</v>
      </c>
      <c r="I763" s="4">
        <v>181</v>
      </c>
      <c r="J763" s="4">
        <v>0.97</v>
      </c>
      <c r="K763" s="4">
        <v>6.29</v>
      </c>
      <c r="L763" s="4">
        <v>1.2</v>
      </c>
      <c r="M763" s="4">
        <v>1</v>
      </c>
      <c r="N763" s="4">
        <v>514</v>
      </c>
      <c r="O763" s="4" t="str">
        <f t="shared" si="22"/>
        <v>Full</v>
      </c>
      <c r="P763" s="5">
        <f t="shared" si="23"/>
        <v>57813</v>
      </c>
    </row>
    <row r="764" spans="1:16" x14ac:dyDescent="0.25">
      <c r="A764" s="4">
        <v>2023</v>
      </c>
      <c r="B764" s="4">
        <v>11</v>
      </c>
      <c r="C764" s="12" t="s">
        <v>34</v>
      </c>
      <c r="D764" s="4" t="s">
        <v>27</v>
      </c>
      <c r="E764" s="4" t="s">
        <v>14</v>
      </c>
      <c r="F764" s="4" t="s">
        <v>21</v>
      </c>
      <c r="G764" s="5">
        <v>113812</v>
      </c>
      <c r="H764" s="5">
        <v>300449</v>
      </c>
      <c r="I764" s="4">
        <v>146</v>
      </c>
      <c r="J764" s="4">
        <v>0.97</v>
      </c>
      <c r="K764" s="4">
        <v>6.29</v>
      </c>
      <c r="L764" s="4">
        <v>1.2</v>
      </c>
      <c r="M764" s="4">
        <v>7</v>
      </c>
      <c r="N764" s="4">
        <v>570</v>
      </c>
      <c r="O764" s="4" t="str">
        <f t="shared" si="22"/>
        <v>EMI</v>
      </c>
      <c r="P764" s="5">
        <f t="shared" si="23"/>
        <v>115177.74400000001</v>
      </c>
    </row>
    <row r="765" spans="1:16" x14ac:dyDescent="0.25">
      <c r="A765" s="4">
        <v>2024</v>
      </c>
      <c r="B765" s="4">
        <v>3</v>
      </c>
      <c r="C765" s="12" t="s">
        <v>33</v>
      </c>
      <c r="D765" s="4" t="s">
        <v>37</v>
      </c>
      <c r="E765" s="4" t="s">
        <v>18</v>
      </c>
      <c r="F765" s="4" t="s">
        <v>18</v>
      </c>
      <c r="G765" s="5">
        <v>113282</v>
      </c>
      <c r="H765" s="5">
        <v>363732</v>
      </c>
      <c r="I765" s="4">
        <v>393</v>
      </c>
      <c r="J765" s="4">
        <v>0.97</v>
      </c>
      <c r="K765" s="4">
        <v>6.29</v>
      </c>
      <c r="L765" s="4">
        <v>1.2</v>
      </c>
      <c r="M765" s="4">
        <v>1</v>
      </c>
      <c r="N765" s="4">
        <v>1129</v>
      </c>
      <c r="O765" s="4" t="str">
        <f t="shared" si="22"/>
        <v>Discount</v>
      </c>
      <c r="P765" s="5">
        <f t="shared" si="23"/>
        <v>101953.8</v>
      </c>
    </row>
    <row r="766" spans="1:16" x14ac:dyDescent="0.25">
      <c r="A766" s="4">
        <v>2023</v>
      </c>
      <c r="B766" s="4">
        <v>11</v>
      </c>
      <c r="C766" s="12" t="s">
        <v>23</v>
      </c>
      <c r="D766" s="4" t="s">
        <v>29</v>
      </c>
      <c r="E766" s="4" t="s">
        <v>14</v>
      </c>
      <c r="F766" s="4" t="s">
        <v>25</v>
      </c>
      <c r="G766" s="5">
        <v>53557</v>
      </c>
      <c r="H766" s="5">
        <v>219357</v>
      </c>
      <c r="I766" s="4">
        <v>187</v>
      </c>
      <c r="J766" s="4">
        <v>0.97</v>
      </c>
      <c r="K766" s="4">
        <v>6.29</v>
      </c>
      <c r="L766" s="4">
        <v>1.2</v>
      </c>
      <c r="M766" s="4">
        <v>1</v>
      </c>
      <c r="N766" s="4">
        <v>599</v>
      </c>
      <c r="O766" s="4" t="str">
        <f t="shared" si="22"/>
        <v>Full</v>
      </c>
      <c r="P766" s="5">
        <f t="shared" si="23"/>
        <v>53557</v>
      </c>
    </row>
    <row r="767" spans="1:16" x14ac:dyDescent="0.25">
      <c r="A767" s="4">
        <v>2023</v>
      </c>
      <c r="B767" s="4">
        <v>6</v>
      </c>
      <c r="C767" s="12" t="s">
        <v>36</v>
      </c>
      <c r="D767" s="4" t="s">
        <v>20</v>
      </c>
      <c r="E767" s="4" t="s">
        <v>14</v>
      </c>
      <c r="F767" s="4" t="s">
        <v>21</v>
      </c>
      <c r="G767" s="5">
        <v>63060</v>
      </c>
      <c r="H767" s="5">
        <v>176683</v>
      </c>
      <c r="I767" s="4">
        <v>86</v>
      </c>
      <c r="J767" s="4">
        <v>0.97</v>
      </c>
      <c r="K767" s="4">
        <v>6.29</v>
      </c>
      <c r="L767" s="4">
        <v>1.2</v>
      </c>
      <c r="M767" s="4">
        <v>2</v>
      </c>
      <c r="N767" s="4">
        <v>256</v>
      </c>
      <c r="O767" s="4" t="str">
        <f t="shared" si="22"/>
        <v>Full</v>
      </c>
      <c r="P767" s="5">
        <f t="shared" si="23"/>
        <v>63060</v>
      </c>
    </row>
    <row r="768" spans="1:16" x14ac:dyDescent="0.25">
      <c r="A768" s="4">
        <v>2020</v>
      </c>
      <c r="B768" s="4">
        <v>9</v>
      </c>
      <c r="C768" s="12" t="s">
        <v>35</v>
      </c>
      <c r="D768" s="4" t="s">
        <v>13</v>
      </c>
      <c r="E768" s="4" t="s">
        <v>14</v>
      </c>
      <c r="F768" s="4" t="s">
        <v>21</v>
      </c>
      <c r="G768" s="5">
        <v>93866</v>
      </c>
      <c r="H768" s="5">
        <v>306157</v>
      </c>
      <c r="I768" s="4">
        <v>197</v>
      </c>
      <c r="J768" s="4">
        <v>0.97</v>
      </c>
      <c r="K768" s="4">
        <v>6.29</v>
      </c>
      <c r="L768" s="4">
        <v>1.2</v>
      </c>
      <c r="M768" s="4">
        <v>10</v>
      </c>
      <c r="N768" s="4">
        <v>377</v>
      </c>
      <c r="O768" s="4" t="str">
        <f t="shared" si="22"/>
        <v>EMI</v>
      </c>
      <c r="P768" s="5">
        <f t="shared" si="23"/>
        <v>94992.392000000007</v>
      </c>
    </row>
    <row r="769" spans="1:16" x14ac:dyDescent="0.25">
      <c r="A769" s="4">
        <v>2022</v>
      </c>
      <c r="B769" s="4">
        <v>6</v>
      </c>
      <c r="C769" s="12" t="s">
        <v>19</v>
      </c>
      <c r="D769" s="4" t="s">
        <v>13</v>
      </c>
      <c r="E769" s="4" t="s">
        <v>18</v>
      </c>
      <c r="F769" s="4" t="s">
        <v>15</v>
      </c>
      <c r="G769" s="5">
        <v>107104</v>
      </c>
      <c r="H769" s="5">
        <v>255827</v>
      </c>
      <c r="I769" s="4">
        <v>24</v>
      </c>
      <c r="J769" s="4">
        <v>0.97</v>
      </c>
      <c r="K769" s="4">
        <v>6.29</v>
      </c>
      <c r="L769" s="4">
        <v>1.2</v>
      </c>
      <c r="M769" s="4">
        <v>3</v>
      </c>
      <c r="N769" s="4">
        <v>185</v>
      </c>
      <c r="O769" s="4" t="str">
        <f t="shared" si="22"/>
        <v>EMI</v>
      </c>
      <c r="P769" s="5">
        <f t="shared" si="23"/>
        <v>108389.24800000001</v>
      </c>
    </row>
    <row r="770" spans="1:16" x14ac:dyDescent="0.25">
      <c r="A770" s="4">
        <v>2015</v>
      </c>
      <c r="B770" s="4">
        <v>9</v>
      </c>
      <c r="C770" s="12" t="s">
        <v>19</v>
      </c>
      <c r="D770" s="4" t="s">
        <v>32</v>
      </c>
      <c r="E770" s="4" t="s">
        <v>17</v>
      </c>
      <c r="F770" s="4" t="s">
        <v>21</v>
      </c>
      <c r="G770" s="5">
        <v>119577</v>
      </c>
      <c r="H770" s="5">
        <v>252918</v>
      </c>
      <c r="I770" s="4">
        <v>301</v>
      </c>
      <c r="J770" s="4">
        <v>0.97</v>
      </c>
      <c r="K770" s="4">
        <v>6.29</v>
      </c>
      <c r="L770" s="4">
        <v>1.2</v>
      </c>
      <c r="M770" s="4">
        <v>1</v>
      </c>
      <c r="N770" s="4">
        <v>678</v>
      </c>
      <c r="O770" s="4" t="str">
        <f t="shared" ref="O770:O833" si="24">IF(M770&gt;2,"EMI",IF(H770&gt;300000,"Discount","Full"))</f>
        <v>Full</v>
      </c>
      <c r="P770" s="5">
        <f t="shared" ref="P770:P833" si="25">IF(O770="EMI", G770*(1+L770/100), IF(O770="Full", G770, G770*0.9))</f>
        <v>119577</v>
      </c>
    </row>
    <row r="771" spans="1:16" x14ac:dyDescent="0.25">
      <c r="A771" s="4">
        <v>2024</v>
      </c>
      <c r="B771" s="4">
        <v>7</v>
      </c>
      <c r="C771" s="12" t="s">
        <v>34</v>
      </c>
      <c r="D771" s="4" t="s">
        <v>20</v>
      </c>
      <c r="E771" s="4" t="s">
        <v>18</v>
      </c>
      <c r="F771" s="4" t="s">
        <v>18</v>
      </c>
      <c r="G771" s="5">
        <v>41080</v>
      </c>
      <c r="H771" s="5">
        <v>348451</v>
      </c>
      <c r="I771" s="4">
        <v>328</v>
      </c>
      <c r="J771" s="4">
        <v>0.97</v>
      </c>
      <c r="K771" s="4">
        <v>6.29</v>
      </c>
      <c r="L771" s="4">
        <v>1.2</v>
      </c>
      <c r="M771" s="4">
        <v>9</v>
      </c>
      <c r="N771" s="4">
        <v>967</v>
      </c>
      <c r="O771" s="4" t="str">
        <f t="shared" si="24"/>
        <v>EMI</v>
      </c>
      <c r="P771" s="5">
        <f t="shared" si="25"/>
        <v>41572.959999999999</v>
      </c>
    </row>
    <row r="772" spans="1:16" x14ac:dyDescent="0.25">
      <c r="A772" s="4">
        <v>2018</v>
      </c>
      <c r="B772" s="4">
        <v>9</v>
      </c>
      <c r="C772" s="12" t="s">
        <v>35</v>
      </c>
      <c r="D772" s="4" t="s">
        <v>13</v>
      </c>
      <c r="E772" s="4" t="s">
        <v>17</v>
      </c>
      <c r="F772" s="4" t="s">
        <v>21</v>
      </c>
      <c r="G772" s="5">
        <v>48854</v>
      </c>
      <c r="H772" s="5">
        <v>392424</v>
      </c>
      <c r="I772" s="4">
        <v>334</v>
      </c>
      <c r="J772" s="4">
        <v>0.97</v>
      </c>
      <c r="K772" s="4">
        <v>6.29</v>
      </c>
      <c r="L772" s="4">
        <v>1.2</v>
      </c>
      <c r="M772" s="4">
        <v>10</v>
      </c>
      <c r="N772" s="4">
        <v>966</v>
      </c>
      <c r="O772" s="4" t="str">
        <f t="shared" si="24"/>
        <v>EMI</v>
      </c>
      <c r="P772" s="5">
        <f t="shared" si="25"/>
        <v>49440.248</v>
      </c>
    </row>
    <row r="773" spans="1:16" x14ac:dyDescent="0.25">
      <c r="A773" s="4">
        <v>2015</v>
      </c>
      <c r="B773" s="4">
        <v>2</v>
      </c>
      <c r="C773" s="12" t="s">
        <v>35</v>
      </c>
      <c r="D773" s="4" t="s">
        <v>29</v>
      </c>
      <c r="E773" s="4" t="s">
        <v>14</v>
      </c>
      <c r="F773" s="4" t="s">
        <v>25</v>
      </c>
      <c r="G773" s="5">
        <v>102695</v>
      </c>
      <c r="H773" s="5">
        <v>463083</v>
      </c>
      <c r="I773" s="4">
        <v>223</v>
      </c>
      <c r="J773" s="4">
        <v>0.97</v>
      </c>
      <c r="K773" s="4">
        <v>6.29</v>
      </c>
      <c r="L773" s="4">
        <v>1.2</v>
      </c>
      <c r="M773" s="4">
        <v>8</v>
      </c>
      <c r="N773" s="4">
        <v>538</v>
      </c>
      <c r="O773" s="4" t="str">
        <f t="shared" si="24"/>
        <v>EMI</v>
      </c>
      <c r="P773" s="5">
        <f t="shared" si="25"/>
        <v>103927.34</v>
      </c>
    </row>
    <row r="774" spans="1:16" x14ac:dyDescent="0.25">
      <c r="A774" s="4">
        <v>2022</v>
      </c>
      <c r="B774" s="4">
        <v>12</v>
      </c>
      <c r="C774" s="12" t="s">
        <v>34</v>
      </c>
      <c r="D774" s="4" t="s">
        <v>20</v>
      </c>
      <c r="E774" s="4" t="s">
        <v>17</v>
      </c>
      <c r="F774" s="4" t="s">
        <v>21</v>
      </c>
      <c r="G774" s="5">
        <v>62025</v>
      </c>
      <c r="H774" s="5">
        <v>368667</v>
      </c>
      <c r="I774" s="4">
        <v>217</v>
      </c>
      <c r="J774" s="4">
        <v>0.97</v>
      </c>
      <c r="K774" s="4">
        <v>6.29</v>
      </c>
      <c r="L774" s="4">
        <v>1.2</v>
      </c>
      <c r="M774" s="4">
        <v>5</v>
      </c>
      <c r="N774" s="4">
        <v>880</v>
      </c>
      <c r="O774" s="4" t="str">
        <f t="shared" si="24"/>
        <v>EMI</v>
      </c>
      <c r="P774" s="5">
        <f t="shared" si="25"/>
        <v>62769.3</v>
      </c>
    </row>
    <row r="775" spans="1:16" x14ac:dyDescent="0.25">
      <c r="A775" s="4">
        <v>2015</v>
      </c>
      <c r="B775" s="4">
        <v>8</v>
      </c>
      <c r="C775" s="12" t="s">
        <v>19</v>
      </c>
      <c r="D775" s="4" t="s">
        <v>29</v>
      </c>
      <c r="E775" s="4" t="s">
        <v>18</v>
      </c>
      <c r="F775" s="4" t="s">
        <v>15</v>
      </c>
      <c r="G775" s="5">
        <v>87982</v>
      </c>
      <c r="H775" s="5">
        <v>449594</v>
      </c>
      <c r="I775" s="4">
        <v>178</v>
      </c>
      <c r="J775" s="4">
        <v>0.97</v>
      </c>
      <c r="K775" s="4">
        <v>6.29</v>
      </c>
      <c r="L775" s="4">
        <v>1.2</v>
      </c>
      <c r="M775" s="4">
        <v>2</v>
      </c>
      <c r="N775" s="4">
        <v>495</v>
      </c>
      <c r="O775" s="4" t="str">
        <f t="shared" si="24"/>
        <v>Discount</v>
      </c>
      <c r="P775" s="5">
        <f t="shared" si="25"/>
        <v>79183.8</v>
      </c>
    </row>
    <row r="776" spans="1:16" x14ac:dyDescent="0.25">
      <c r="A776" s="4">
        <v>2017</v>
      </c>
      <c r="B776" s="4">
        <v>8</v>
      </c>
      <c r="C776" s="12" t="s">
        <v>33</v>
      </c>
      <c r="D776" s="4" t="s">
        <v>37</v>
      </c>
      <c r="E776" s="4" t="s">
        <v>18</v>
      </c>
      <c r="F776" s="4" t="s">
        <v>25</v>
      </c>
      <c r="G776" s="5">
        <v>76081</v>
      </c>
      <c r="H776" s="5">
        <v>265757</v>
      </c>
      <c r="I776" s="4">
        <v>339</v>
      </c>
      <c r="J776" s="4">
        <v>0.97</v>
      </c>
      <c r="K776" s="4">
        <v>6.29</v>
      </c>
      <c r="L776" s="4">
        <v>1.2</v>
      </c>
      <c r="M776" s="4">
        <v>5</v>
      </c>
      <c r="N776" s="4">
        <v>879</v>
      </c>
      <c r="O776" s="4" t="str">
        <f t="shared" si="24"/>
        <v>EMI</v>
      </c>
      <c r="P776" s="5">
        <f t="shared" si="25"/>
        <v>76993.971999999994</v>
      </c>
    </row>
    <row r="777" spans="1:16" x14ac:dyDescent="0.25">
      <c r="A777" s="4">
        <v>2018</v>
      </c>
      <c r="B777" s="4">
        <v>2</v>
      </c>
      <c r="C777" s="12" t="s">
        <v>30</v>
      </c>
      <c r="D777" s="4" t="s">
        <v>37</v>
      </c>
      <c r="E777" s="4" t="s">
        <v>14</v>
      </c>
      <c r="F777" s="4" t="s">
        <v>25</v>
      </c>
      <c r="G777" s="5">
        <v>39368</v>
      </c>
      <c r="H777" s="5">
        <v>157669</v>
      </c>
      <c r="I777" s="4">
        <v>289</v>
      </c>
      <c r="J777" s="4">
        <v>0.97</v>
      </c>
      <c r="K777" s="4">
        <v>6.29</v>
      </c>
      <c r="L777" s="4">
        <v>1.2</v>
      </c>
      <c r="M777" s="4">
        <v>6</v>
      </c>
      <c r="N777" s="4">
        <v>971</v>
      </c>
      <c r="O777" s="4" t="str">
        <f t="shared" si="24"/>
        <v>EMI</v>
      </c>
      <c r="P777" s="5">
        <f t="shared" si="25"/>
        <v>39840.415999999997</v>
      </c>
    </row>
    <row r="778" spans="1:16" x14ac:dyDescent="0.25">
      <c r="A778" s="4">
        <v>2022</v>
      </c>
      <c r="B778" s="4">
        <v>12</v>
      </c>
      <c r="C778" s="12" t="s">
        <v>30</v>
      </c>
      <c r="D778" s="4" t="s">
        <v>13</v>
      </c>
      <c r="E778" s="4" t="s">
        <v>17</v>
      </c>
      <c r="F778" s="4" t="s">
        <v>15</v>
      </c>
      <c r="G778" s="5">
        <v>62094</v>
      </c>
      <c r="H778" s="5">
        <v>258030</v>
      </c>
      <c r="I778" s="4">
        <v>314</v>
      </c>
      <c r="J778" s="4">
        <v>0.97</v>
      </c>
      <c r="K778" s="4">
        <v>6.29</v>
      </c>
      <c r="L778" s="4">
        <v>1.2</v>
      </c>
      <c r="M778" s="4">
        <v>1</v>
      </c>
      <c r="N778" s="4">
        <v>1012</v>
      </c>
      <c r="O778" s="4" t="str">
        <f t="shared" si="24"/>
        <v>Full</v>
      </c>
      <c r="P778" s="5">
        <f t="shared" si="25"/>
        <v>62094</v>
      </c>
    </row>
    <row r="779" spans="1:16" x14ac:dyDescent="0.25">
      <c r="A779" s="4">
        <v>2020</v>
      </c>
      <c r="B779" s="4">
        <v>4</v>
      </c>
      <c r="C779" s="12" t="s">
        <v>34</v>
      </c>
      <c r="D779" s="4" t="s">
        <v>13</v>
      </c>
      <c r="E779" s="4" t="s">
        <v>14</v>
      </c>
      <c r="F779" s="4" t="s">
        <v>18</v>
      </c>
      <c r="G779" s="5">
        <v>81040</v>
      </c>
      <c r="H779" s="5">
        <v>208998</v>
      </c>
      <c r="I779" s="4">
        <v>155</v>
      </c>
      <c r="J779" s="4">
        <v>0.97</v>
      </c>
      <c r="K779" s="4">
        <v>6.29</v>
      </c>
      <c r="L779" s="4">
        <v>1.2</v>
      </c>
      <c r="M779" s="4">
        <v>4</v>
      </c>
      <c r="N779" s="4">
        <v>707</v>
      </c>
      <c r="O779" s="4" t="str">
        <f t="shared" si="24"/>
        <v>EMI</v>
      </c>
      <c r="P779" s="5">
        <f t="shared" si="25"/>
        <v>82012.479999999996</v>
      </c>
    </row>
    <row r="780" spans="1:16" x14ac:dyDescent="0.25">
      <c r="A780" s="4">
        <v>2024</v>
      </c>
      <c r="B780" s="4">
        <v>11</v>
      </c>
      <c r="C780" s="12" t="s">
        <v>35</v>
      </c>
      <c r="D780" s="4" t="s">
        <v>27</v>
      </c>
      <c r="E780" s="4" t="s">
        <v>14</v>
      </c>
      <c r="F780" s="4" t="s">
        <v>25</v>
      </c>
      <c r="G780" s="5">
        <v>101766</v>
      </c>
      <c r="H780" s="5">
        <v>153215</v>
      </c>
      <c r="I780" s="4">
        <v>272</v>
      </c>
      <c r="J780" s="4">
        <v>0.97</v>
      </c>
      <c r="K780" s="4">
        <v>6.29</v>
      </c>
      <c r="L780" s="4">
        <v>1.2</v>
      </c>
      <c r="M780" s="4">
        <v>9</v>
      </c>
      <c r="N780" s="4">
        <v>753</v>
      </c>
      <c r="O780" s="4" t="str">
        <f t="shared" si="24"/>
        <v>EMI</v>
      </c>
      <c r="P780" s="5">
        <f t="shared" si="25"/>
        <v>102987.192</v>
      </c>
    </row>
    <row r="781" spans="1:16" x14ac:dyDescent="0.25">
      <c r="A781" s="4">
        <v>2021</v>
      </c>
      <c r="B781" s="4">
        <v>7</v>
      </c>
      <c r="C781" s="12" t="s">
        <v>23</v>
      </c>
      <c r="D781" s="4" t="s">
        <v>37</v>
      </c>
      <c r="E781" s="4" t="s">
        <v>18</v>
      </c>
      <c r="F781" s="4" t="s">
        <v>18</v>
      </c>
      <c r="G781" s="5">
        <v>118053</v>
      </c>
      <c r="H781" s="5">
        <v>148707</v>
      </c>
      <c r="I781" s="4">
        <v>13</v>
      </c>
      <c r="J781" s="4">
        <v>0.97</v>
      </c>
      <c r="K781" s="4">
        <v>6.29</v>
      </c>
      <c r="L781" s="4">
        <v>1.2</v>
      </c>
      <c r="M781" s="4">
        <v>2</v>
      </c>
      <c r="N781" s="4">
        <v>290</v>
      </c>
      <c r="O781" s="4" t="str">
        <f t="shared" si="24"/>
        <v>Full</v>
      </c>
      <c r="P781" s="5">
        <f t="shared" si="25"/>
        <v>118053</v>
      </c>
    </row>
    <row r="782" spans="1:16" x14ac:dyDescent="0.25">
      <c r="A782" s="4">
        <v>2022</v>
      </c>
      <c r="B782" s="4">
        <v>11</v>
      </c>
      <c r="C782" s="12" t="s">
        <v>34</v>
      </c>
      <c r="D782" s="4" t="s">
        <v>22</v>
      </c>
      <c r="E782" s="4" t="s">
        <v>17</v>
      </c>
      <c r="F782" s="4" t="s">
        <v>25</v>
      </c>
      <c r="G782" s="5">
        <v>58991</v>
      </c>
      <c r="H782" s="5">
        <v>456396</v>
      </c>
      <c r="I782" s="4">
        <v>99</v>
      </c>
      <c r="J782" s="4">
        <v>0.97</v>
      </c>
      <c r="K782" s="4">
        <v>6.29</v>
      </c>
      <c r="L782" s="4">
        <v>1.2</v>
      </c>
      <c r="M782" s="4">
        <v>5</v>
      </c>
      <c r="N782" s="4">
        <v>457</v>
      </c>
      <c r="O782" s="4" t="str">
        <f t="shared" si="24"/>
        <v>EMI</v>
      </c>
      <c r="P782" s="5">
        <f t="shared" si="25"/>
        <v>59698.892</v>
      </c>
    </row>
    <row r="783" spans="1:16" x14ac:dyDescent="0.25">
      <c r="A783" s="4">
        <v>2016</v>
      </c>
      <c r="B783" s="4">
        <v>4</v>
      </c>
      <c r="C783" s="12" t="s">
        <v>33</v>
      </c>
      <c r="D783" s="4" t="s">
        <v>22</v>
      </c>
      <c r="E783" s="4" t="s">
        <v>17</v>
      </c>
      <c r="F783" s="4" t="s">
        <v>25</v>
      </c>
      <c r="G783" s="5">
        <v>36301</v>
      </c>
      <c r="H783" s="5">
        <v>142837</v>
      </c>
      <c r="I783" s="4">
        <v>69</v>
      </c>
      <c r="J783" s="4">
        <v>0.97</v>
      </c>
      <c r="K783" s="4">
        <v>6.29</v>
      </c>
      <c r="L783" s="4">
        <v>1.2</v>
      </c>
      <c r="M783" s="4">
        <v>1</v>
      </c>
      <c r="N783" s="4">
        <v>595</v>
      </c>
      <c r="O783" s="4" t="str">
        <f t="shared" si="24"/>
        <v>Full</v>
      </c>
      <c r="P783" s="5">
        <f t="shared" si="25"/>
        <v>36301</v>
      </c>
    </row>
    <row r="784" spans="1:16" x14ac:dyDescent="0.25">
      <c r="A784" s="4">
        <v>2024</v>
      </c>
      <c r="B784" s="4">
        <v>4</v>
      </c>
      <c r="C784" s="12" t="s">
        <v>34</v>
      </c>
      <c r="D784" s="4" t="s">
        <v>32</v>
      </c>
      <c r="E784" s="4" t="s">
        <v>17</v>
      </c>
      <c r="F784" s="4" t="s">
        <v>18</v>
      </c>
      <c r="G784" s="5">
        <v>63610</v>
      </c>
      <c r="H784" s="5">
        <v>430214</v>
      </c>
      <c r="I784" s="4">
        <v>320</v>
      </c>
      <c r="J784" s="4">
        <v>0.97</v>
      </c>
      <c r="K784" s="4">
        <v>6.29</v>
      </c>
      <c r="L784" s="4">
        <v>1.2</v>
      </c>
      <c r="M784" s="4">
        <v>4</v>
      </c>
      <c r="N784" s="4">
        <v>1086</v>
      </c>
      <c r="O784" s="4" t="str">
        <f t="shared" si="24"/>
        <v>EMI</v>
      </c>
      <c r="P784" s="5">
        <f t="shared" si="25"/>
        <v>64373.32</v>
      </c>
    </row>
    <row r="785" spans="1:16" x14ac:dyDescent="0.25">
      <c r="A785" s="4">
        <v>2022</v>
      </c>
      <c r="B785" s="4">
        <v>6</v>
      </c>
      <c r="C785" s="12" t="s">
        <v>28</v>
      </c>
      <c r="D785" s="4" t="s">
        <v>37</v>
      </c>
      <c r="E785" s="4" t="s">
        <v>17</v>
      </c>
      <c r="F785" s="4" t="s">
        <v>25</v>
      </c>
      <c r="G785" s="5">
        <v>116463</v>
      </c>
      <c r="H785" s="5">
        <v>480147</v>
      </c>
      <c r="I785" s="4">
        <v>25</v>
      </c>
      <c r="J785" s="4">
        <v>0.97</v>
      </c>
      <c r="K785" s="4">
        <v>6.29</v>
      </c>
      <c r="L785" s="4">
        <v>1.2</v>
      </c>
      <c r="M785" s="4">
        <v>4</v>
      </c>
      <c r="N785" s="4">
        <v>244</v>
      </c>
      <c r="O785" s="4" t="str">
        <f t="shared" si="24"/>
        <v>EMI</v>
      </c>
      <c r="P785" s="5">
        <f t="shared" si="25"/>
        <v>117860.556</v>
      </c>
    </row>
    <row r="786" spans="1:16" x14ac:dyDescent="0.25">
      <c r="A786" s="4">
        <v>2017</v>
      </c>
      <c r="B786" s="4">
        <v>10</v>
      </c>
      <c r="C786" s="12" t="s">
        <v>36</v>
      </c>
      <c r="D786" s="4" t="s">
        <v>29</v>
      </c>
      <c r="E786" s="4" t="s">
        <v>14</v>
      </c>
      <c r="F786" s="4" t="s">
        <v>18</v>
      </c>
      <c r="G786" s="5">
        <v>69678</v>
      </c>
      <c r="H786" s="5">
        <v>467230</v>
      </c>
      <c r="I786" s="4">
        <v>236</v>
      </c>
      <c r="J786" s="4">
        <v>0.97</v>
      </c>
      <c r="K786" s="4">
        <v>6.29</v>
      </c>
      <c r="L786" s="4">
        <v>1.2</v>
      </c>
      <c r="M786" s="4">
        <v>6</v>
      </c>
      <c r="N786" s="4">
        <v>889</v>
      </c>
      <c r="O786" s="4" t="str">
        <f t="shared" si="24"/>
        <v>EMI</v>
      </c>
      <c r="P786" s="5">
        <f t="shared" si="25"/>
        <v>70514.135999999999</v>
      </c>
    </row>
    <row r="787" spans="1:16" x14ac:dyDescent="0.25">
      <c r="A787" s="4">
        <v>2021</v>
      </c>
      <c r="B787" s="4">
        <v>6</v>
      </c>
      <c r="C787" s="12" t="s">
        <v>35</v>
      </c>
      <c r="D787" s="4" t="s">
        <v>29</v>
      </c>
      <c r="E787" s="4" t="s">
        <v>14</v>
      </c>
      <c r="F787" s="4" t="s">
        <v>15</v>
      </c>
      <c r="G787" s="5">
        <v>59466</v>
      </c>
      <c r="H787" s="5">
        <v>295847</v>
      </c>
      <c r="I787" s="4">
        <v>38</v>
      </c>
      <c r="J787" s="4">
        <v>0.97</v>
      </c>
      <c r="K787" s="4">
        <v>6.29</v>
      </c>
      <c r="L787" s="4">
        <v>1.2</v>
      </c>
      <c r="M787" s="4">
        <v>10</v>
      </c>
      <c r="N787" s="4">
        <v>415</v>
      </c>
      <c r="O787" s="4" t="str">
        <f t="shared" si="24"/>
        <v>EMI</v>
      </c>
      <c r="P787" s="5">
        <f t="shared" si="25"/>
        <v>60179.592000000004</v>
      </c>
    </row>
    <row r="788" spans="1:16" x14ac:dyDescent="0.25">
      <c r="A788" s="4">
        <v>2017</v>
      </c>
      <c r="B788" s="4">
        <v>10</v>
      </c>
      <c r="C788" s="12" t="s">
        <v>12</v>
      </c>
      <c r="D788" s="4" t="s">
        <v>24</v>
      </c>
      <c r="E788" s="4" t="s">
        <v>18</v>
      </c>
      <c r="F788" s="4" t="s">
        <v>18</v>
      </c>
      <c r="G788" s="5">
        <v>115440</v>
      </c>
      <c r="H788" s="5">
        <v>277544</v>
      </c>
      <c r="I788" s="4">
        <v>160</v>
      </c>
      <c r="J788" s="4">
        <v>0.97</v>
      </c>
      <c r="K788" s="4">
        <v>6.29</v>
      </c>
      <c r="L788" s="4">
        <v>1.2</v>
      </c>
      <c r="M788" s="4">
        <v>9</v>
      </c>
      <c r="N788" s="4">
        <v>527</v>
      </c>
      <c r="O788" s="4" t="str">
        <f t="shared" si="24"/>
        <v>EMI</v>
      </c>
      <c r="P788" s="5">
        <f t="shared" si="25"/>
        <v>116825.28</v>
      </c>
    </row>
    <row r="789" spans="1:16" x14ac:dyDescent="0.25">
      <c r="A789" s="4">
        <v>2021</v>
      </c>
      <c r="B789" s="4">
        <v>3</v>
      </c>
      <c r="C789" s="12" t="s">
        <v>12</v>
      </c>
      <c r="D789" s="4" t="s">
        <v>20</v>
      </c>
      <c r="E789" s="4" t="s">
        <v>14</v>
      </c>
      <c r="F789" s="4" t="s">
        <v>15</v>
      </c>
      <c r="G789" s="5">
        <v>75875</v>
      </c>
      <c r="H789" s="5">
        <v>392016</v>
      </c>
      <c r="I789" s="4">
        <v>254</v>
      </c>
      <c r="J789" s="4">
        <v>0.97</v>
      </c>
      <c r="K789" s="4">
        <v>6.29</v>
      </c>
      <c r="L789" s="4">
        <v>1.2</v>
      </c>
      <c r="M789" s="4">
        <v>3</v>
      </c>
      <c r="N789" s="4">
        <v>694</v>
      </c>
      <c r="O789" s="4" t="str">
        <f t="shared" si="24"/>
        <v>EMI</v>
      </c>
      <c r="P789" s="5">
        <f t="shared" si="25"/>
        <v>76785.5</v>
      </c>
    </row>
    <row r="790" spans="1:16" x14ac:dyDescent="0.25">
      <c r="A790" s="4">
        <v>2016</v>
      </c>
      <c r="B790" s="4">
        <v>9</v>
      </c>
      <c r="C790" s="12" t="s">
        <v>35</v>
      </c>
      <c r="D790" s="4" t="s">
        <v>16</v>
      </c>
      <c r="E790" s="4" t="s">
        <v>14</v>
      </c>
      <c r="F790" s="4" t="s">
        <v>25</v>
      </c>
      <c r="G790" s="5">
        <v>61081</v>
      </c>
      <c r="H790" s="5">
        <v>399880</v>
      </c>
      <c r="I790" s="4">
        <v>279</v>
      </c>
      <c r="J790" s="4">
        <v>0.97</v>
      </c>
      <c r="K790" s="4">
        <v>6.29</v>
      </c>
      <c r="L790" s="4">
        <v>1.2</v>
      </c>
      <c r="M790" s="4">
        <v>9</v>
      </c>
      <c r="N790" s="4">
        <v>848</v>
      </c>
      <c r="O790" s="4" t="str">
        <f t="shared" si="24"/>
        <v>EMI</v>
      </c>
      <c r="P790" s="5">
        <f t="shared" si="25"/>
        <v>61813.972000000002</v>
      </c>
    </row>
    <row r="791" spans="1:16" x14ac:dyDescent="0.25">
      <c r="A791" s="4">
        <v>2024</v>
      </c>
      <c r="B791" s="4">
        <v>12</v>
      </c>
      <c r="C791" s="12" t="s">
        <v>33</v>
      </c>
      <c r="D791" s="4" t="s">
        <v>22</v>
      </c>
      <c r="E791" s="4" t="s">
        <v>18</v>
      </c>
      <c r="F791" s="4" t="s">
        <v>18</v>
      </c>
      <c r="G791" s="5">
        <v>59354</v>
      </c>
      <c r="H791" s="5">
        <v>317614</v>
      </c>
      <c r="I791" s="4">
        <v>88</v>
      </c>
      <c r="J791" s="4">
        <v>0.97</v>
      </c>
      <c r="K791" s="4">
        <v>6.29</v>
      </c>
      <c r="L791" s="4">
        <v>1.2</v>
      </c>
      <c r="M791" s="4">
        <v>6</v>
      </c>
      <c r="N791" s="4">
        <v>426</v>
      </c>
      <c r="O791" s="4" t="str">
        <f t="shared" si="24"/>
        <v>EMI</v>
      </c>
      <c r="P791" s="5">
        <f t="shared" si="25"/>
        <v>60066.248</v>
      </c>
    </row>
    <row r="792" spans="1:16" x14ac:dyDescent="0.25">
      <c r="A792" s="4">
        <v>2020</v>
      </c>
      <c r="B792" s="4">
        <v>10</v>
      </c>
      <c r="C792" s="12" t="s">
        <v>28</v>
      </c>
      <c r="D792" s="4" t="s">
        <v>13</v>
      </c>
      <c r="E792" s="4" t="s">
        <v>18</v>
      </c>
      <c r="F792" s="4" t="s">
        <v>25</v>
      </c>
      <c r="G792" s="5">
        <v>53300</v>
      </c>
      <c r="H792" s="5">
        <v>277467</v>
      </c>
      <c r="I792" s="4">
        <v>298</v>
      </c>
      <c r="J792" s="4">
        <v>0.97</v>
      </c>
      <c r="K792" s="4">
        <v>6.29</v>
      </c>
      <c r="L792" s="4">
        <v>1.2</v>
      </c>
      <c r="M792" s="4">
        <v>7</v>
      </c>
      <c r="N792" s="4">
        <v>782</v>
      </c>
      <c r="O792" s="4" t="str">
        <f t="shared" si="24"/>
        <v>EMI</v>
      </c>
      <c r="P792" s="5">
        <f t="shared" si="25"/>
        <v>53939.6</v>
      </c>
    </row>
    <row r="793" spans="1:16" x14ac:dyDescent="0.25">
      <c r="A793" s="4">
        <v>2017</v>
      </c>
      <c r="B793" s="4">
        <v>11</v>
      </c>
      <c r="C793" s="12" t="s">
        <v>28</v>
      </c>
      <c r="D793" s="4" t="s">
        <v>32</v>
      </c>
      <c r="E793" s="4" t="s">
        <v>18</v>
      </c>
      <c r="F793" s="4" t="s">
        <v>18</v>
      </c>
      <c r="G793" s="5">
        <v>99384</v>
      </c>
      <c r="H793" s="5">
        <v>196025</v>
      </c>
      <c r="I793" s="4">
        <v>162</v>
      </c>
      <c r="J793" s="4">
        <v>0.97</v>
      </c>
      <c r="K793" s="4">
        <v>6.29</v>
      </c>
      <c r="L793" s="4">
        <v>1.2</v>
      </c>
      <c r="M793" s="4">
        <v>10</v>
      </c>
      <c r="N793" s="4">
        <v>515</v>
      </c>
      <c r="O793" s="4" t="str">
        <f t="shared" si="24"/>
        <v>EMI</v>
      </c>
      <c r="P793" s="5">
        <f t="shared" si="25"/>
        <v>100576.60800000001</v>
      </c>
    </row>
    <row r="794" spans="1:16" x14ac:dyDescent="0.25">
      <c r="A794" s="4">
        <v>2017</v>
      </c>
      <c r="B794" s="4">
        <v>2</v>
      </c>
      <c r="C794" s="12" t="s">
        <v>19</v>
      </c>
      <c r="D794" s="4" t="s">
        <v>16</v>
      </c>
      <c r="E794" s="4" t="s">
        <v>14</v>
      </c>
      <c r="F794" s="4" t="s">
        <v>15</v>
      </c>
      <c r="G794" s="5">
        <v>95892</v>
      </c>
      <c r="H794" s="5">
        <v>285652</v>
      </c>
      <c r="I794" s="4">
        <v>286</v>
      </c>
      <c r="J794" s="4">
        <v>0.97</v>
      </c>
      <c r="K794" s="4">
        <v>6.29</v>
      </c>
      <c r="L794" s="4">
        <v>1.2</v>
      </c>
      <c r="M794" s="4">
        <v>2</v>
      </c>
      <c r="N794" s="4">
        <v>804</v>
      </c>
      <c r="O794" s="4" t="str">
        <f t="shared" si="24"/>
        <v>Full</v>
      </c>
      <c r="P794" s="5">
        <f t="shared" si="25"/>
        <v>95892</v>
      </c>
    </row>
    <row r="795" spans="1:16" x14ac:dyDescent="0.25">
      <c r="A795" s="4">
        <v>2023</v>
      </c>
      <c r="B795" s="4">
        <v>6</v>
      </c>
      <c r="C795" s="12" t="s">
        <v>36</v>
      </c>
      <c r="D795" s="4" t="s">
        <v>31</v>
      </c>
      <c r="E795" s="4" t="s">
        <v>14</v>
      </c>
      <c r="F795" s="4" t="s">
        <v>15</v>
      </c>
      <c r="G795" s="5">
        <v>70525</v>
      </c>
      <c r="H795" s="5">
        <v>481723</v>
      </c>
      <c r="I795" s="4">
        <v>288</v>
      </c>
      <c r="J795" s="4">
        <v>0.97</v>
      </c>
      <c r="K795" s="4">
        <v>6.29</v>
      </c>
      <c r="L795" s="4">
        <v>1.2</v>
      </c>
      <c r="M795" s="4">
        <v>10</v>
      </c>
      <c r="N795" s="4">
        <v>869</v>
      </c>
      <c r="O795" s="4" t="str">
        <f t="shared" si="24"/>
        <v>EMI</v>
      </c>
      <c r="P795" s="5">
        <f t="shared" si="25"/>
        <v>71371.3</v>
      </c>
    </row>
    <row r="796" spans="1:16" x14ac:dyDescent="0.25">
      <c r="A796" s="4">
        <v>2021</v>
      </c>
      <c r="B796" s="4">
        <v>12</v>
      </c>
      <c r="C796" s="12" t="s">
        <v>30</v>
      </c>
      <c r="D796" s="4" t="s">
        <v>32</v>
      </c>
      <c r="E796" s="4" t="s">
        <v>18</v>
      </c>
      <c r="F796" s="4" t="s">
        <v>18</v>
      </c>
      <c r="G796" s="5">
        <v>61532</v>
      </c>
      <c r="H796" s="5">
        <v>405113</v>
      </c>
      <c r="I796" s="4">
        <v>66</v>
      </c>
      <c r="J796" s="4">
        <v>0.97</v>
      </c>
      <c r="K796" s="4">
        <v>6.29</v>
      </c>
      <c r="L796" s="4">
        <v>1.2</v>
      </c>
      <c r="M796" s="4">
        <v>6</v>
      </c>
      <c r="N796" s="4">
        <v>201</v>
      </c>
      <c r="O796" s="4" t="str">
        <f t="shared" si="24"/>
        <v>EMI</v>
      </c>
      <c r="P796" s="5">
        <f t="shared" si="25"/>
        <v>62270.383999999998</v>
      </c>
    </row>
    <row r="797" spans="1:16" x14ac:dyDescent="0.25">
      <c r="A797" s="4">
        <v>2019</v>
      </c>
      <c r="B797" s="4">
        <v>7</v>
      </c>
      <c r="C797" s="12" t="s">
        <v>26</v>
      </c>
      <c r="D797" s="4" t="s">
        <v>31</v>
      </c>
      <c r="E797" s="4" t="s">
        <v>18</v>
      </c>
      <c r="F797" s="4" t="s">
        <v>15</v>
      </c>
      <c r="G797" s="5">
        <v>41464</v>
      </c>
      <c r="H797" s="5">
        <v>141493</v>
      </c>
      <c r="I797" s="4">
        <v>195</v>
      </c>
      <c r="J797" s="4">
        <v>0.97</v>
      </c>
      <c r="K797" s="4">
        <v>6.29</v>
      </c>
      <c r="L797" s="4">
        <v>1.2</v>
      </c>
      <c r="M797" s="4">
        <v>6</v>
      </c>
      <c r="N797" s="4">
        <v>524</v>
      </c>
      <c r="O797" s="4" t="str">
        <f t="shared" si="24"/>
        <v>EMI</v>
      </c>
      <c r="P797" s="5">
        <f t="shared" si="25"/>
        <v>41961.567999999999</v>
      </c>
    </row>
    <row r="798" spans="1:16" x14ac:dyDescent="0.25">
      <c r="A798" s="4">
        <v>2024</v>
      </c>
      <c r="B798" s="4">
        <v>12</v>
      </c>
      <c r="C798" s="12" t="s">
        <v>33</v>
      </c>
      <c r="D798" s="4" t="s">
        <v>37</v>
      </c>
      <c r="E798" s="4" t="s">
        <v>18</v>
      </c>
      <c r="F798" s="4" t="s">
        <v>25</v>
      </c>
      <c r="G798" s="5">
        <v>51562</v>
      </c>
      <c r="H798" s="5">
        <v>318667</v>
      </c>
      <c r="I798" s="4">
        <v>102</v>
      </c>
      <c r="J798" s="4">
        <v>0.97</v>
      </c>
      <c r="K798" s="4">
        <v>6.29</v>
      </c>
      <c r="L798" s="4">
        <v>1.2</v>
      </c>
      <c r="M798" s="4">
        <v>2</v>
      </c>
      <c r="N798" s="4">
        <v>476</v>
      </c>
      <c r="O798" s="4" t="str">
        <f t="shared" si="24"/>
        <v>Discount</v>
      </c>
      <c r="P798" s="5">
        <f t="shared" si="25"/>
        <v>46405.8</v>
      </c>
    </row>
    <row r="799" spans="1:16" x14ac:dyDescent="0.25">
      <c r="A799" s="4">
        <v>2021</v>
      </c>
      <c r="B799" s="4">
        <v>9</v>
      </c>
      <c r="C799" s="12" t="s">
        <v>26</v>
      </c>
      <c r="D799" s="4" t="s">
        <v>31</v>
      </c>
      <c r="E799" s="4" t="s">
        <v>14</v>
      </c>
      <c r="F799" s="4" t="s">
        <v>25</v>
      </c>
      <c r="G799" s="5">
        <v>90514</v>
      </c>
      <c r="H799" s="5">
        <v>267995</v>
      </c>
      <c r="I799" s="4">
        <v>285</v>
      </c>
      <c r="J799" s="4">
        <v>0.97</v>
      </c>
      <c r="K799" s="4">
        <v>6.29</v>
      </c>
      <c r="L799" s="4">
        <v>1.2</v>
      </c>
      <c r="M799" s="4">
        <v>2</v>
      </c>
      <c r="N799" s="4">
        <v>884</v>
      </c>
      <c r="O799" s="4" t="str">
        <f t="shared" si="24"/>
        <v>Full</v>
      </c>
      <c r="P799" s="5">
        <f t="shared" si="25"/>
        <v>90514</v>
      </c>
    </row>
    <row r="800" spans="1:16" x14ac:dyDescent="0.25">
      <c r="A800" s="4">
        <v>2023</v>
      </c>
      <c r="B800" s="4">
        <v>3</v>
      </c>
      <c r="C800" s="12" t="s">
        <v>26</v>
      </c>
      <c r="D800" s="4" t="s">
        <v>31</v>
      </c>
      <c r="E800" s="4" t="s">
        <v>14</v>
      </c>
      <c r="F800" s="4" t="s">
        <v>21</v>
      </c>
      <c r="G800" s="5">
        <v>109219</v>
      </c>
      <c r="H800" s="5">
        <v>238262</v>
      </c>
      <c r="I800" s="4">
        <v>167</v>
      </c>
      <c r="J800" s="4">
        <v>0.97</v>
      </c>
      <c r="K800" s="4">
        <v>6.29</v>
      </c>
      <c r="L800" s="4">
        <v>1.2</v>
      </c>
      <c r="M800" s="4">
        <v>2</v>
      </c>
      <c r="N800" s="4">
        <v>430</v>
      </c>
      <c r="O800" s="4" t="str">
        <f t="shared" si="24"/>
        <v>Full</v>
      </c>
      <c r="P800" s="5">
        <f t="shared" si="25"/>
        <v>109219</v>
      </c>
    </row>
    <row r="801" spans="1:16" x14ac:dyDescent="0.25">
      <c r="A801" s="4">
        <v>2015</v>
      </c>
      <c r="B801" s="4">
        <v>10</v>
      </c>
      <c r="C801" s="12" t="s">
        <v>35</v>
      </c>
      <c r="D801" s="4" t="s">
        <v>27</v>
      </c>
      <c r="E801" s="4" t="s">
        <v>17</v>
      </c>
      <c r="F801" s="4" t="s">
        <v>15</v>
      </c>
      <c r="G801" s="5">
        <v>67634</v>
      </c>
      <c r="H801" s="5">
        <v>490977</v>
      </c>
      <c r="I801" s="4">
        <v>284</v>
      </c>
      <c r="J801" s="4">
        <v>0.97</v>
      </c>
      <c r="K801" s="4">
        <v>6.29</v>
      </c>
      <c r="L801" s="4">
        <v>1.2</v>
      </c>
      <c r="M801" s="4">
        <v>10</v>
      </c>
      <c r="N801" s="4">
        <v>849</v>
      </c>
      <c r="O801" s="4" t="str">
        <f t="shared" si="24"/>
        <v>EMI</v>
      </c>
      <c r="P801" s="5">
        <f t="shared" si="25"/>
        <v>68445.608000000007</v>
      </c>
    </row>
    <row r="802" spans="1:16" x14ac:dyDescent="0.25">
      <c r="A802" s="4">
        <v>2021</v>
      </c>
      <c r="B802" s="4">
        <v>3</v>
      </c>
      <c r="C802" s="12" t="s">
        <v>12</v>
      </c>
      <c r="D802" s="4" t="s">
        <v>27</v>
      </c>
      <c r="E802" s="4" t="s">
        <v>14</v>
      </c>
      <c r="F802" s="4" t="s">
        <v>25</v>
      </c>
      <c r="G802" s="5">
        <v>35060</v>
      </c>
      <c r="H802" s="5">
        <v>343313</v>
      </c>
      <c r="I802" s="4">
        <v>190</v>
      </c>
      <c r="J802" s="4">
        <v>0.97</v>
      </c>
      <c r="K802" s="4">
        <v>6.29</v>
      </c>
      <c r="L802" s="4">
        <v>1.2</v>
      </c>
      <c r="M802" s="4">
        <v>1</v>
      </c>
      <c r="N802" s="4">
        <v>469</v>
      </c>
      <c r="O802" s="4" t="str">
        <f t="shared" si="24"/>
        <v>Discount</v>
      </c>
      <c r="P802" s="5">
        <f t="shared" si="25"/>
        <v>31554</v>
      </c>
    </row>
    <row r="803" spans="1:16" x14ac:dyDescent="0.25">
      <c r="A803" s="4">
        <v>2020</v>
      </c>
      <c r="B803" s="4">
        <v>7</v>
      </c>
      <c r="C803" s="12" t="s">
        <v>12</v>
      </c>
      <c r="D803" s="4" t="s">
        <v>27</v>
      </c>
      <c r="E803" s="4" t="s">
        <v>14</v>
      </c>
      <c r="F803" s="4" t="s">
        <v>18</v>
      </c>
      <c r="G803" s="5">
        <v>44269</v>
      </c>
      <c r="H803" s="5">
        <v>95641</v>
      </c>
      <c r="I803" s="4">
        <v>368</v>
      </c>
      <c r="J803" s="4">
        <v>0.97</v>
      </c>
      <c r="K803" s="4">
        <v>6.29</v>
      </c>
      <c r="L803" s="4">
        <v>1.2</v>
      </c>
      <c r="M803" s="4">
        <v>5</v>
      </c>
      <c r="N803" s="4">
        <v>994</v>
      </c>
      <c r="O803" s="4" t="str">
        <f t="shared" si="24"/>
        <v>EMI</v>
      </c>
      <c r="P803" s="5">
        <f t="shared" si="25"/>
        <v>44800.228000000003</v>
      </c>
    </row>
    <row r="804" spans="1:16" x14ac:dyDescent="0.25">
      <c r="A804" s="4">
        <v>2024</v>
      </c>
      <c r="B804" s="4">
        <v>4</v>
      </c>
      <c r="C804" s="12" t="s">
        <v>30</v>
      </c>
      <c r="D804" s="4" t="s">
        <v>37</v>
      </c>
      <c r="E804" s="4" t="s">
        <v>14</v>
      </c>
      <c r="F804" s="4" t="s">
        <v>15</v>
      </c>
      <c r="G804" s="5">
        <v>98143</v>
      </c>
      <c r="H804" s="5">
        <v>204062</v>
      </c>
      <c r="I804" s="4">
        <v>86</v>
      </c>
      <c r="J804" s="4">
        <v>0.97</v>
      </c>
      <c r="K804" s="4">
        <v>6.29</v>
      </c>
      <c r="L804" s="4">
        <v>1.2</v>
      </c>
      <c r="M804" s="4">
        <v>8</v>
      </c>
      <c r="N804" s="4">
        <v>468</v>
      </c>
      <c r="O804" s="4" t="str">
        <f t="shared" si="24"/>
        <v>EMI</v>
      </c>
      <c r="P804" s="5">
        <f t="shared" si="25"/>
        <v>99320.716</v>
      </c>
    </row>
    <row r="805" spans="1:16" x14ac:dyDescent="0.25">
      <c r="A805" s="4">
        <v>2023</v>
      </c>
      <c r="B805" s="4">
        <v>8</v>
      </c>
      <c r="C805" s="12" t="s">
        <v>35</v>
      </c>
      <c r="D805" s="4" t="s">
        <v>16</v>
      </c>
      <c r="E805" s="4" t="s">
        <v>18</v>
      </c>
      <c r="F805" s="4" t="s">
        <v>25</v>
      </c>
      <c r="G805" s="5">
        <v>58065</v>
      </c>
      <c r="H805" s="5">
        <v>79661</v>
      </c>
      <c r="I805" s="4">
        <v>160</v>
      </c>
      <c r="J805" s="4">
        <v>0.97</v>
      </c>
      <c r="K805" s="4">
        <v>6.29</v>
      </c>
      <c r="L805" s="4">
        <v>1.2</v>
      </c>
      <c r="M805" s="4">
        <v>2</v>
      </c>
      <c r="N805" s="4">
        <v>786</v>
      </c>
      <c r="O805" s="4" t="str">
        <f t="shared" si="24"/>
        <v>Full</v>
      </c>
      <c r="P805" s="5">
        <f t="shared" si="25"/>
        <v>58065</v>
      </c>
    </row>
    <row r="806" spans="1:16" x14ac:dyDescent="0.25">
      <c r="A806" s="4">
        <v>2015</v>
      </c>
      <c r="B806" s="4">
        <v>7</v>
      </c>
      <c r="C806" s="12" t="s">
        <v>26</v>
      </c>
      <c r="D806" s="4" t="s">
        <v>32</v>
      </c>
      <c r="E806" s="4" t="s">
        <v>14</v>
      </c>
      <c r="F806" s="4" t="s">
        <v>15</v>
      </c>
      <c r="G806" s="5">
        <v>37895</v>
      </c>
      <c r="H806" s="5">
        <v>194491</v>
      </c>
      <c r="I806" s="4">
        <v>247</v>
      </c>
      <c r="J806" s="4">
        <v>0.97</v>
      </c>
      <c r="K806" s="4">
        <v>6.29</v>
      </c>
      <c r="L806" s="4">
        <v>1.2</v>
      </c>
      <c r="M806" s="4">
        <v>5</v>
      </c>
      <c r="N806" s="4">
        <v>762</v>
      </c>
      <c r="O806" s="4" t="str">
        <f t="shared" si="24"/>
        <v>EMI</v>
      </c>
      <c r="P806" s="5">
        <f t="shared" si="25"/>
        <v>38349.74</v>
      </c>
    </row>
    <row r="807" spans="1:16" x14ac:dyDescent="0.25">
      <c r="A807" s="4">
        <v>2018</v>
      </c>
      <c r="B807" s="4">
        <v>5</v>
      </c>
      <c r="C807" s="12" t="s">
        <v>23</v>
      </c>
      <c r="D807" s="4" t="s">
        <v>32</v>
      </c>
      <c r="E807" s="4" t="s">
        <v>18</v>
      </c>
      <c r="F807" s="4" t="s">
        <v>18</v>
      </c>
      <c r="G807" s="5">
        <v>115859</v>
      </c>
      <c r="H807" s="5">
        <v>326601</v>
      </c>
      <c r="I807" s="4">
        <v>298</v>
      </c>
      <c r="J807" s="4">
        <v>0.97</v>
      </c>
      <c r="K807" s="4">
        <v>6.29</v>
      </c>
      <c r="L807" s="4">
        <v>1.2</v>
      </c>
      <c r="M807" s="4">
        <v>8</v>
      </c>
      <c r="N807" s="4">
        <v>640</v>
      </c>
      <c r="O807" s="4" t="str">
        <f t="shared" si="24"/>
        <v>EMI</v>
      </c>
      <c r="P807" s="5">
        <f t="shared" si="25"/>
        <v>117249.308</v>
      </c>
    </row>
    <row r="808" spans="1:16" x14ac:dyDescent="0.25">
      <c r="A808" s="4">
        <v>2023</v>
      </c>
      <c r="B808" s="4">
        <v>7</v>
      </c>
      <c r="C808" s="12" t="s">
        <v>12</v>
      </c>
      <c r="D808" s="4" t="s">
        <v>13</v>
      </c>
      <c r="E808" s="4" t="s">
        <v>17</v>
      </c>
      <c r="F808" s="4" t="s">
        <v>25</v>
      </c>
      <c r="G808" s="5">
        <v>47352</v>
      </c>
      <c r="H808" s="5">
        <v>379744</v>
      </c>
      <c r="I808" s="4">
        <v>240</v>
      </c>
      <c r="J808" s="4">
        <v>0.97</v>
      </c>
      <c r="K808" s="4">
        <v>6.29</v>
      </c>
      <c r="L808" s="4">
        <v>1.2</v>
      </c>
      <c r="M808" s="4">
        <v>10</v>
      </c>
      <c r="N808" s="4">
        <v>640</v>
      </c>
      <c r="O808" s="4" t="str">
        <f t="shared" si="24"/>
        <v>EMI</v>
      </c>
      <c r="P808" s="5">
        <f t="shared" si="25"/>
        <v>47920.224000000002</v>
      </c>
    </row>
    <row r="809" spans="1:16" x14ac:dyDescent="0.25">
      <c r="A809" s="4">
        <v>2018</v>
      </c>
      <c r="B809" s="4">
        <v>3</v>
      </c>
      <c r="C809" s="12" t="s">
        <v>33</v>
      </c>
      <c r="D809" s="4" t="s">
        <v>27</v>
      </c>
      <c r="E809" s="4" t="s">
        <v>17</v>
      </c>
      <c r="F809" s="4" t="s">
        <v>21</v>
      </c>
      <c r="G809" s="5">
        <v>84737</v>
      </c>
      <c r="H809" s="5">
        <v>153619</v>
      </c>
      <c r="I809" s="4">
        <v>27</v>
      </c>
      <c r="J809" s="4">
        <v>0.97</v>
      </c>
      <c r="K809" s="4">
        <v>6.29</v>
      </c>
      <c r="L809" s="4">
        <v>1.2</v>
      </c>
      <c r="M809" s="4">
        <v>5</v>
      </c>
      <c r="N809" s="4">
        <v>224</v>
      </c>
      <c r="O809" s="4" t="str">
        <f t="shared" si="24"/>
        <v>EMI</v>
      </c>
      <c r="P809" s="5">
        <f t="shared" si="25"/>
        <v>85753.843999999997</v>
      </c>
    </row>
    <row r="810" spans="1:16" x14ac:dyDescent="0.25">
      <c r="A810" s="4">
        <v>2024</v>
      </c>
      <c r="B810" s="4">
        <v>12</v>
      </c>
      <c r="C810" s="12" t="s">
        <v>33</v>
      </c>
      <c r="D810" s="4" t="s">
        <v>37</v>
      </c>
      <c r="E810" s="4" t="s">
        <v>18</v>
      </c>
      <c r="F810" s="4" t="s">
        <v>21</v>
      </c>
      <c r="G810" s="5">
        <v>67016</v>
      </c>
      <c r="H810" s="5">
        <v>388246</v>
      </c>
      <c r="I810" s="4">
        <v>82</v>
      </c>
      <c r="J810" s="4">
        <v>0.97</v>
      </c>
      <c r="K810" s="4">
        <v>6.29</v>
      </c>
      <c r="L810" s="4">
        <v>1.2</v>
      </c>
      <c r="M810" s="4">
        <v>2</v>
      </c>
      <c r="N810" s="4">
        <v>641</v>
      </c>
      <c r="O810" s="4" t="str">
        <f t="shared" si="24"/>
        <v>Discount</v>
      </c>
      <c r="P810" s="5">
        <f t="shared" si="25"/>
        <v>60314.400000000001</v>
      </c>
    </row>
    <row r="811" spans="1:16" x14ac:dyDescent="0.25">
      <c r="A811" s="4">
        <v>2017</v>
      </c>
      <c r="B811" s="4">
        <v>2</v>
      </c>
      <c r="C811" s="12" t="s">
        <v>19</v>
      </c>
      <c r="D811" s="4" t="s">
        <v>13</v>
      </c>
      <c r="E811" s="4" t="s">
        <v>18</v>
      </c>
      <c r="F811" s="4" t="s">
        <v>15</v>
      </c>
      <c r="G811" s="5">
        <v>96304</v>
      </c>
      <c r="H811" s="5">
        <v>83085</v>
      </c>
      <c r="I811" s="4">
        <v>198</v>
      </c>
      <c r="J811" s="4">
        <v>0.97</v>
      </c>
      <c r="K811" s="4">
        <v>6.29</v>
      </c>
      <c r="L811" s="4">
        <v>1.2</v>
      </c>
      <c r="M811" s="4">
        <v>3</v>
      </c>
      <c r="N811" s="4">
        <v>668</v>
      </c>
      <c r="O811" s="4" t="str">
        <f t="shared" si="24"/>
        <v>EMI</v>
      </c>
      <c r="P811" s="5">
        <f t="shared" si="25"/>
        <v>97459.648000000001</v>
      </c>
    </row>
    <row r="812" spans="1:16" x14ac:dyDescent="0.25">
      <c r="A812" s="4">
        <v>2023</v>
      </c>
      <c r="B812" s="4">
        <v>6</v>
      </c>
      <c r="C812" s="12" t="s">
        <v>34</v>
      </c>
      <c r="D812" s="4" t="s">
        <v>20</v>
      </c>
      <c r="E812" s="4" t="s">
        <v>18</v>
      </c>
      <c r="F812" s="4" t="s">
        <v>18</v>
      </c>
      <c r="G812" s="5">
        <v>46962</v>
      </c>
      <c r="H812" s="5">
        <v>147064</v>
      </c>
      <c r="I812" s="4">
        <v>26</v>
      </c>
      <c r="J812" s="4">
        <v>0.97</v>
      </c>
      <c r="K812" s="4">
        <v>6.29</v>
      </c>
      <c r="L812" s="4">
        <v>1.2</v>
      </c>
      <c r="M812" s="4">
        <v>6</v>
      </c>
      <c r="N812" s="4">
        <v>396</v>
      </c>
      <c r="O812" s="4" t="str">
        <f t="shared" si="24"/>
        <v>EMI</v>
      </c>
      <c r="P812" s="5">
        <f t="shared" si="25"/>
        <v>47525.544000000002</v>
      </c>
    </row>
    <row r="813" spans="1:16" x14ac:dyDescent="0.25">
      <c r="A813" s="4">
        <v>2016</v>
      </c>
      <c r="B813" s="4">
        <v>2</v>
      </c>
      <c r="C813" s="12" t="s">
        <v>23</v>
      </c>
      <c r="D813" s="4" t="s">
        <v>13</v>
      </c>
      <c r="E813" s="4" t="s">
        <v>14</v>
      </c>
      <c r="F813" s="4" t="s">
        <v>25</v>
      </c>
      <c r="G813" s="5">
        <v>68302</v>
      </c>
      <c r="H813" s="5">
        <v>231726</v>
      </c>
      <c r="I813" s="4">
        <v>28</v>
      </c>
      <c r="J813" s="4">
        <v>0.97</v>
      </c>
      <c r="K813" s="4">
        <v>6.29</v>
      </c>
      <c r="L813" s="4">
        <v>1.2</v>
      </c>
      <c r="M813" s="4">
        <v>5</v>
      </c>
      <c r="N813" s="4">
        <v>438</v>
      </c>
      <c r="O813" s="4" t="str">
        <f t="shared" si="24"/>
        <v>EMI</v>
      </c>
      <c r="P813" s="5">
        <f t="shared" si="25"/>
        <v>69121.623999999996</v>
      </c>
    </row>
    <row r="814" spans="1:16" x14ac:dyDescent="0.25">
      <c r="A814" s="4">
        <v>2018</v>
      </c>
      <c r="B814" s="4">
        <v>3</v>
      </c>
      <c r="C814" s="12" t="s">
        <v>12</v>
      </c>
      <c r="D814" s="4" t="s">
        <v>16</v>
      </c>
      <c r="E814" s="4" t="s">
        <v>17</v>
      </c>
      <c r="F814" s="4" t="s">
        <v>18</v>
      </c>
      <c r="G814" s="5">
        <v>39011</v>
      </c>
      <c r="H814" s="5">
        <v>449346</v>
      </c>
      <c r="I814" s="4">
        <v>228</v>
      </c>
      <c r="J814" s="4">
        <v>0.97</v>
      </c>
      <c r="K814" s="4">
        <v>6.29</v>
      </c>
      <c r="L814" s="4">
        <v>1.2</v>
      </c>
      <c r="M814" s="4">
        <v>4</v>
      </c>
      <c r="N814" s="4">
        <v>951</v>
      </c>
      <c r="O814" s="4" t="str">
        <f t="shared" si="24"/>
        <v>EMI</v>
      </c>
      <c r="P814" s="5">
        <f t="shared" si="25"/>
        <v>39479.131999999998</v>
      </c>
    </row>
    <row r="815" spans="1:16" x14ac:dyDescent="0.25">
      <c r="A815" s="4">
        <v>2020</v>
      </c>
      <c r="B815" s="4">
        <v>6</v>
      </c>
      <c r="C815" s="12" t="s">
        <v>28</v>
      </c>
      <c r="D815" s="4" t="s">
        <v>22</v>
      </c>
      <c r="E815" s="4" t="s">
        <v>18</v>
      </c>
      <c r="F815" s="4" t="s">
        <v>25</v>
      </c>
      <c r="G815" s="5">
        <v>54782</v>
      </c>
      <c r="H815" s="5">
        <v>155723</v>
      </c>
      <c r="I815" s="4">
        <v>335</v>
      </c>
      <c r="J815" s="4">
        <v>0.97</v>
      </c>
      <c r="K815" s="4">
        <v>6.29</v>
      </c>
      <c r="L815" s="4">
        <v>1.2</v>
      </c>
      <c r="M815" s="4">
        <v>4</v>
      </c>
      <c r="N815" s="4">
        <v>1066</v>
      </c>
      <c r="O815" s="4" t="str">
        <f t="shared" si="24"/>
        <v>EMI</v>
      </c>
      <c r="P815" s="5">
        <f t="shared" si="25"/>
        <v>55439.383999999998</v>
      </c>
    </row>
    <row r="816" spans="1:16" x14ac:dyDescent="0.25">
      <c r="A816" s="4">
        <v>2016</v>
      </c>
      <c r="B816" s="4">
        <v>5</v>
      </c>
      <c r="C816" s="12" t="s">
        <v>12</v>
      </c>
      <c r="D816" s="4" t="s">
        <v>31</v>
      </c>
      <c r="E816" s="4" t="s">
        <v>14</v>
      </c>
      <c r="F816" s="4" t="s">
        <v>15</v>
      </c>
      <c r="G816" s="5">
        <v>102691</v>
      </c>
      <c r="H816" s="5">
        <v>183114</v>
      </c>
      <c r="I816" s="4">
        <v>129</v>
      </c>
      <c r="J816" s="4">
        <v>0.97</v>
      </c>
      <c r="K816" s="4">
        <v>6.29</v>
      </c>
      <c r="L816" s="4">
        <v>1.2</v>
      </c>
      <c r="M816" s="4">
        <v>5</v>
      </c>
      <c r="N816" s="4">
        <v>390</v>
      </c>
      <c r="O816" s="4" t="str">
        <f t="shared" si="24"/>
        <v>EMI</v>
      </c>
      <c r="P816" s="5">
        <f t="shared" si="25"/>
        <v>103923.292</v>
      </c>
    </row>
    <row r="817" spans="1:16" x14ac:dyDescent="0.25">
      <c r="A817" s="4">
        <v>2022</v>
      </c>
      <c r="B817" s="4">
        <v>8</v>
      </c>
      <c r="C817" s="12" t="s">
        <v>19</v>
      </c>
      <c r="D817" s="4" t="s">
        <v>27</v>
      </c>
      <c r="E817" s="4" t="s">
        <v>17</v>
      </c>
      <c r="F817" s="4" t="s">
        <v>25</v>
      </c>
      <c r="G817" s="5">
        <v>74725</v>
      </c>
      <c r="H817" s="5">
        <v>382278</v>
      </c>
      <c r="I817" s="4">
        <v>110</v>
      </c>
      <c r="J817" s="4">
        <v>0.97</v>
      </c>
      <c r="K817" s="4">
        <v>6.29</v>
      </c>
      <c r="L817" s="4">
        <v>1.2</v>
      </c>
      <c r="M817" s="4">
        <v>2</v>
      </c>
      <c r="N817" s="4">
        <v>303</v>
      </c>
      <c r="O817" s="4" t="str">
        <f t="shared" si="24"/>
        <v>Discount</v>
      </c>
      <c r="P817" s="5">
        <f t="shared" si="25"/>
        <v>67252.5</v>
      </c>
    </row>
    <row r="818" spans="1:16" x14ac:dyDescent="0.25">
      <c r="A818" s="4">
        <v>2022</v>
      </c>
      <c r="B818" s="4">
        <v>9</v>
      </c>
      <c r="C818" s="12" t="s">
        <v>33</v>
      </c>
      <c r="D818" s="4" t="s">
        <v>22</v>
      </c>
      <c r="E818" s="4" t="s">
        <v>14</v>
      </c>
      <c r="F818" s="4" t="s">
        <v>18</v>
      </c>
      <c r="G818" s="5">
        <v>44196</v>
      </c>
      <c r="H818" s="5">
        <v>355126</v>
      </c>
      <c r="I818" s="4">
        <v>43</v>
      </c>
      <c r="J818" s="4">
        <v>0.97</v>
      </c>
      <c r="K818" s="4">
        <v>6.29</v>
      </c>
      <c r="L818" s="4">
        <v>1.2</v>
      </c>
      <c r="M818" s="4">
        <v>9</v>
      </c>
      <c r="N818" s="4">
        <v>247</v>
      </c>
      <c r="O818" s="4" t="str">
        <f t="shared" si="24"/>
        <v>EMI</v>
      </c>
      <c r="P818" s="5">
        <f t="shared" si="25"/>
        <v>44726.351999999999</v>
      </c>
    </row>
    <row r="819" spans="1:16" x14ac:dyDescent="0.25">
      <c r="A819" s="4">
        <v>2015</v>
      </c>
      <c r="B819" s="4">
        <v>11</v>
      </c>
      <c r="C819" s="12" t="s">
        <v>26</v>
      </c>
      <c r="D819" s="4" t="s">
        <v>13</v>
      </c>
      <c r="E819" s="4" t="s">
        <v>17</v>
      </c>
      <c r="F819" s="4" t="s">
        <v>18</v>
      </c>
      <c r="G819" s="5">
        <v>78459</v>
      </c>
      <c r="H819" s="5">
        <v>377329</v>
      </c>
      <c r="I819" s="4">
        <v>93</v>
      </c>
      <c r="J819" s="4">
        <v>0.97</v>
      </c>
      <c r="K819" s="4">
        <v>6.29</v>
      </c>
      <c r="L819" s="4">
        <v>1.2</v>
      </c>
      <c r="M819" s="4">
        <v>2</v>
      </c>
      <c r="N819" s="4">
        <v>576</v>
      </c>
      <c r="O819" s="4" t="str">
        <f t="shared" si="24"/>
        <v>Discount</v>
      </c>
      <c r="P819" s="5">
        <f t="shared" si="25"/>
        <v>70613.100000000006</v>
      </c>
    </row>
    <row r="820" spans="1:16" x14ac:dyDescent="0.25">
      <c r="A820" s="4">
        <v>2017</v>
      </c>
      <c r="B820" s="4">
        <v>3</v>
      </c>
      <c r="C820" s="12" t="s">
        <v>28</v>
      </c>
      <c r="D820" s="4" t="s">
        <v>37</v>
      </c>
      <c r="E820" s="4" t="s">
        <v>14</v>
      </c>
      <c r="F820" s="4" t="s">
        <v>15</v>
      </c>
      <c r="G820" s="5">
        <v>113863</v>
      </c>
      <c r="H820" s="5">
        <v>83477</v>
      </c>
      <c r="I820" s="4">
        <v>205</v>
      </c>
      <c r="J820" s="4">
        <v>0.97</v>
      </c>
      <c r="K820" s="4">
        <v>6.29</v>
      </c>
      <c r="L820" s="4">
        <v>1.2</v>
      </c>
      <c r="M820" s="4">
        <v>10</v>
      </c>
      <c r="N820" s="4">
        <v>693</v>
      </c>
      <c r="O820" s="4" t="str">
        <f t="shared" si="24"/>
        <v>EMI</v>
      </c>
      <c r="P820" s="5">
        <f t="shared" si="25"/>
        <v>115229.356</v>
      </c>
    </row>
    <row r="821" spans="1:16" x14ac:dyDescent="0.25">
      <c r="A821" s="4">
        <v>2024</v>
      </c>
      <c r="B821" s="4">
        <v>12</v>
      </c>
      <c r="C821" s="12" t="s">
        <v>35</v>
      </c>
      <c r="D821" s="4" t="s">
        <v>31</v>
      </c>
      <c r="E821" s="4" t="s">
        <v>17</v>
      </c>
      <c r="F821" s="4" t="s">
        <v>18</v>
      </c>
      <c r="G821" s="5">
        <v>67769</v>
      </c>
      <c r="H821" s="5">
        <v>164161</v>
      </c>
      <c r="I821" s="4">
        <v>339</v>
      </c>
      <c r="J821" s="4">
        <v>0.97</v>
      </c>
      <c r="K821" s="4">
        <v>6.29</v>
      </c>
      <c r="L821" s="4">
        <v>1.2</v>
      </c>
      <c r="M821" s="4">
        <v>2</v>
      </c>
      <c r="N821" s="4">
        <v>1095</v>
      </c>
      <c r="O821" s="4" t="str">
        <f t="shared" si="24"/>
        <v>Full</v>
      </c>
      <c r="P821" s="5">
        <f t="shared" si="25"/>
        <v>67769</v>
      </c>
    </row>
    <row r="822" spans="1:16" x14ac:dyDescent="0.25">
      <c r="A822" s="4">
        <v>2023</v>
      </c>
      <c r="B822" s="4">
        <v>10</v>
      </c>
      <c r="C822" s="12" t="s">
        <v>36</v>
      </c>
      <c r="D822" s="4" t="s">
        <v>32</v>
      </c>
      <c r="E822" s="4" t="s">
        <v>17</v>
      </c>
      <c r="F822" s="4" t="s">
        <v>25</v>
      </c>
      <c r="G822" s="5">
        <v>59700</v>
      </c>
      <c r="H822" s="5">
        <v>364853</v>
      </c>
      <c r="I822" s="4">
        <v>211</v>
      </c>
      <c r="J822" s="4">
        <v>0.97</v>
      </c>
      <c r="K822" s="4">
        <v>6.29</v>
      </c>
      <c r="L822" s="4">
        <v>1.2</v>
      </c>
      <c r="M822" s="4">
        <v>10</v>
      </c>
      <c r="N822" s="4">
        <v>482</v>
      </c>
      <c r="O822" s="4" t="str">
        <f t="shared" si="24"/>
        <v>EMI</v>
      </c>
      <c r="P822" s="5">
        <f t="shared" si="25"/>
        <v>60416.4</v>
      </c>
    </row>
    <row r="823" spans="1:16" x14ac:dyDescent="0.25">
      <c r="A823" s="4">
        <v>2019</v>
      </c>
      <c r="B823" s="4">
        <v>3</v>
      </c>
      <c r="C823" s="12" t="s">
        <v>26</v>
      </c>
      <c r="D823" s="4" t="s">
        <v>29</v>
      </c>
      <c r="E823" s="4" t="s">
        <v>14</v>
      </c>
      <c r="F823" s="4" t="s">
        <v>15</v>
      </c>
      <c r="G823" s="5">
        <v>115356</v>
      </c>
      <c r="H823" s="5">
        <v>209788</v>
      </c>
      <c r="I823" s="4">
        <v>353</v>
      </c>
      <c r="J823" s="4">
        <v>0.97</v>
      </c>
      <c r="K823" s="4">
        <v>6.29</v>
      </c>
      <c r="L823" s="4">
        <v>1.2</v>
      </c>
      <c r="M823" s="4">
        <v>9</v>
      </c>
      <c r="N823" s="4">
        <v>980</v>
      </c>
      <c r="O823" s="4" t="str">
        <f t="shared" si="24"/>
        <v>EMI</v>
      </c>
      <c r="P823" s="5">
        <f t="shared" si="25"/>
        <v>116740.272</v>
      </c>
    </row>
    <row r="824" spans="1:16" x14ac:dyDescent="0.25">
      <c r="A824" s="4">
        <v>2020</v>
      </c>
      <c r="B824" s="4">
        <v>3</v>
      </c>
      <c r="C824" s="12" t="s">
        <v>36</v>
      </c>
      <c r="D824" s="4" t="s">
        <v>31</v>
      </c>
      <c r="E824" s="4" t="s">
        <v>18</v>
      </c>
      <c r="F824" s="4" t="s">
        <v>25</v>
      </c>
      <c r="G824" s="5">
        <v>111427</v>
      </c>
      <c r="H824" s="5">
        <v>390281</v>
      </c>
      <c r="I824" s="4">
        <v>350</v>
      </c>
      <c r="J824" s="4">
        <v>0.97</v>
      </c>
      <c r="K824" s="4">
        <v>6.29</v>
      </c>
      <c r="L824" s="4">
        <v>1.2</v>
      </c>
      <c r="M824" s="4">
        <v>3</v>
      </c>
      <c r="N824" s="4">
        <v>1075</v>
      </c>
      <c r="O824" s="4" t="str">
        <f t="shared" si="24"/>
        <v>EMI</v>
      </c>
      <c r="P824" s="5">
        <f t="shared" si="25"/>
        <v>112764.124</v>
      </c>
    </row>
    <row r="825" spans="1:16" x14ac:dyDescent="0.25">
      <c r="A825" s="4">
        <v>2018</v>
      </c>
      <c r="B825" s="4">
        <v>6</v>
      </c>
      <c r="C825" s="12" t="s">
        <v>23</v>
      </c>
      <c r="D825" s="4" t="s">
        <v>16</v>
      </c>
      <c r="E825" s="4" t="s">
        <v>17</v>
      </c>
      <c r="F825" s="4" t="s">
        <v>18</v>
      </c>
      <c r="G825" s="5">
        <v>40269</v>
      </c>
      <c r="H825" s="5">
        <v>348162</v>
      </c>
      <c r="I825" s="4">
        <v>20</v>
      </c>
      <c r="J825" s="4">
        <v>0.97</v>
      </c>
      <c r="K825" s="4">
        <v>6.29</v>
      </c>
      <c r="L825" s="4">
        <v>1.2</v>
      </c>
      <c r="M825" s="4">
        <v>10</v>
      </c>
      <c r="N825" s="4">
        <v>476</v>
      </c>
      <c r="O825" s="4" t="str">
        <f t="shared" si="24"/>
        <v>EMI</v>
      </c>
      <c r="P825" s="5">
        <f t="shared" si="25"/>
        <v>40752.228000000003</v>
      </c>
    </row>
    <row r="826" spans="1:16" x14ac:dyDescent="0.25">
      <c r="A826" s="4">
        <v>2024</v>
      </c>
      <c r="B826" s="4">
        <v>1</v>
      </c>
      <c r="C826" s="12" t="s">
        <v>34</v>
      </c>
      <c r="D826" s="4" t="s">
        <v>16</v>
      </c>
      <c r="E826" s="4" t="s">
        <v>18</v>
      </c>
      <c r="F826" s="4" t="s">
        <v>15</v>
      </c>
      <c r="G826" s="5">
        <v>78880</v>
      </c>
      <c r="H826" s="5">
        <v>189133</v>
      </c>
      <c r="I826" s="4">
        <v>356</v>
      </c>
      <c r="J826" s="4">
        <v>0.97</v>
      </c>
      <c r="K826" s="4">
        <v>6.29</v>
      </c>
      <c r="L826" s="4">
        <v>1.2</v>
      </c>
      <c r="M826" s="4">
        <v>7</v>
      </c>
      <c r="N826" s="4">
        <v>1122</v>
      </c>
      <c r="O826" s="4" t="str">
        <f t="shared" si="24"/>
        <v>EMI</v>
      </c>
      <c r="P826" s="5">
        <f t="shared" si="25"/>
        <v>79826.559999999998</v>
      </c>
    </row>
    <row r="827" spans="1:16" x14ac:dyDescent="0.25">
      <c r="A827" s="4">
        <v>2016</v>
      </c>
      <c r="B827" s="4">
        <v>7</v>
      </c>
      <c r="C827" s="12" t="s">
        <v>28</v>
      </c>
      <c r="D827" s="4" t="s">
        <v>13</v>
      </c>
      <c r="E827" s="4" t="s">
        <v>14</v>
      </c>
      <c r="F827" s="4" t="s">
        <v>25</v>
      </c>
      <c r="G827" s="5">
        <v>43320</v>
      </c>
      <c r="H827" s="5">
        <v>189681</v>
      </c>
      <c r="I827" s="4">
        <v>227</v>
      </c>
      <c r="J827" s="4">
        <v>0.97</v>
      </c>
      <c r="K827" s="4">
        <v>6.29</v>
      </c>
      <c r="L827" s="4">
        <v>1.2</v>
      </c>
      <c r="M827" s="4">
        <v>4</v>
      </c>
      <c r="N827" s="4">
        <v>641</v>
      </c>
      <c r="O827" s="4" t="str">
        <f t="shared" si="24"/>
        <v>EMI</v>
      </c>
      <c r="P827" s="5">
        <f t="shared" si="25"/>
        <v>43839.840000000004</v>
      </c>
    </row>
    <row r="828" spans="1:16" x14ac:dyDescent="0.25">
      <c r="A828" s="4">
        <v>2022</v>
      </c>
      <c r="B828" s="4">
        <v>12</v>
      </c>
      <c r="C828" s="12" t="s">
        <v>30</v>
      </c>
      <c r="D828" s="4" t="s">
        <v>20</v>
      </c>
      <c r="E828" s="4" t="s">
        <v>18</v>
      </c>
      <c r="F828" s="4" t="s">
        <v>18</v>
      </c>
      <c r="G828" s="5">
        <v>84589</v>
      </c>
      <c r="H828" s="5">
        <v>347515</v>
      </c>
      <c r="I828" s="4">
        <v>262</v>
      </c>
      <c r="J828" s="4">
        <v>0.97</v>
      </c>
      <c r="K828" s="4">
        <v>6.29</v>
      </c>
      <c r="L828" s="4">
        <v>1.2</v>
      </c>
      <c r="M828" s="4">
        <v>6</v>
      </c>
      <c r="N828" s="4">
        <v>820</v>
      </c>
      <c r="O828" s="4" t="str">
        <f t="shared" si="24"/>
        <v>EMI</v>
      </c>
      <c r="P828" s="5">
        <f t="shared" si="25"/>
        <v>85604.067999999999</v>
      </c>
    </row>
    <row r="829" spans="1:16" x14ac:dyDescent="0.25">
      <c r="A829" s="4">
        <v>2020</v>
      </c>
      <c r="B829" s="4">
        <v>1</v>
      </c>
      <c r="C829" s="12" t="s">
        <v>28</v>
      </c>
      <c r="D829" s="4" t="s">
        <v>16</v>
      </c>
      <c r="E829" s="4" t="s">
        <v>18</v>
      </c>
      <c r="F829" s="4" t="s">
        <v>18</v>
      </c>
      <c r="G829" s="5">
        <v>111276</v>
      </c>
      <c r="H829" s="5">
        <v>291422</v>
      </c>
      <c r="I829" s="4">
        <v>231</v>
      </c>
      <c r="J829" s="4">
        <v>0.97</v>
      </c>
      <c r="K829" s="4">
        <v>6.29</v>
      </c>
      <c r="L829" s="4">
        <v>1.2</v>
      </c>
      <c r="M829" s="4">
        <v>4</v>
      </c>
      <c r="N829" s="4">
        <v>789</v>
      </c>
      <c r="O829" s="4" t="str">
        <f t="shared" si="24"/>
        <v>EMI</v>
      </c>
      <c r="P829" s="5">
        <f t="shared" si="25"/>
        <v>112611.31200000001</v>
      </c>
    </row>
    <row r="830" spans="1:16" x14ac:dyDescent="0.25">
      <c r="A830" s="4">
        <v>2019</v>
      </c>
      <c r="B830" s="4">
        <v>5</v>
      </c>
      <c r="C830" s="12" t="s">
        <v>12</v>
      </c>
      <c r="D830" s="4" t="s">
        <v>16</v>
      </c>
      <c r="E830" s="4" t="s">
        <v>18</v>
      </c>
      <c r="F830" s="4" t="s">
        <v>21</v>
      </c>
      <c r="G830" s="5">
        <v>70897</v>
      </c>
      <c r="H830" s="5">
        <v>395165</v>
      </c>
      <c r="I830" s="4">
        <v>392</v>
      </c>
      <c r="J830" s="4">
        <v>0.97</v>
      </c>
      <c r="K830" s="4">
        <v>6.29</v>
      </c>
      <c r="L830" s="4">
        <v>1.2</v>
      </c>
      <c r="M830" s="4">
        <v>10</v>
      </c>
      <c r="N830" s="4">
        <v>985</v>
      </c>
      <c r="O830" s="4" t="str">
        <f t="shared" si="24"/>
        <v>EMI</v>
      </c>
      <c r="P830" s="5">
        <f t="shared" si="25"/>
        <v>71747.763999999996</v>
      </c>
    </row>
    <row r="831" spans="1:16" x14ac:dyDescent="0.25">
      <c r="A831" s="4">
        <v>2023</v>
      </c>
      <c r="B831" s="4">
        <v>10</v>
      </c>
      <c r="C831" s="12" t="s">
        <v>33</v>
      </c>
      <c r="D831" s="4" t="s">
        <v>37</v>
      </c>
      <c r="E831" s="4" t="s">
        <v>18</v>
      </c>
      <c r="F831" s="4" t="s">
        <v>18</v>
      </c>
      <c r="G831" s="5">
        <v>93565</v>
      </c>
      <c r="H831" s="5">
        <v>464021</v>
      </c>
      <c r="I831" s="4">
        <v>378</v>
      </c>
      <c r="J831" s="4">
        <v>0.97</v>
      </c>
      <c r="K831" s="4">
        <v>6.29</v>
      </c>
      <c r="L831" s="4">
        <v>1.2</v>
      </c>
      <c r="M831" s="4">
        <v>7</v>
      </c>
      <c r="N831" s="4">
        <v>928</v>
      </c>
      <c r="O831" s="4" t="str">
        <f t="shared" si="24"/>
        <v>EMI</v>
      </c>
      <c r="P831" s="5">
        <f t="shared" si="25"/>
        <v>94687.78</v>
      </c>
    </row>
    <row r="832" spans="1:16" x14ac:dyDescent="0.25">
      <c r="A832" s="4">
        <v>2015</v>
      </c>
      <c r="B832" s="4">
        <v>8</v>
      </c>
      <c r="C832" s="12" t="s">
        <v>12</v>
      </c>
      <c r="D832" s="4" t="s">
        <v>13</v>
      </c>
      <c r="E832" s="4" t="s">
        <v>18</v>
      </c>
      <c r="F832" s="4" t="s">
        <v>25</v>
      </c>
      <c r="G832" s="5">
        <v>65930</v>
      </c>
      <c r="H832" s="5">
        <v>320001</v>
      </c>
      <c r="I832" s="4">
        <v>89</v>
      </c>
      <c r="J832" s="4">
        <v>0.97</v>
      </c>
      <c r="K832" s="4">
        <v>6.29</v>
      </c>
      <c r="L832" s="4">
        <v>1.2</v>
      </c>
      <c r="M832" s="4">
        <v>1</v>
      </c>
      <c r="N832" s="4">
        <v>301</v>
      </c>
      <c r="O832" s="4" t="str">
        <f t="shared" si="24"/>
        <v>Discount</v>
      </c>
      <c r="P832" s="5">
        <f t="shared" si="25"/>
        <v>59337</v>
      </c>
    </row>
    <row r="833" spans="1:16" x14ac:dyDescent="0.25">
      <c r="A833" s="4">
        <v>2019</v>
      </c>
      <c r="B833" s="4">
        <v>4</v>
      </c>
      <c r="C833" s="12" t="s">
        <v>12</v>
      </c>
      <c r="D833" s="4" t="s">
        <v>31</v>
      </c>
      <c r="E833" s="4" t="s">
        <v>17</v>
      </c>
      <c r="F833" s="4" t="s">
        <v>15</v>
      </c>
      <c r="G833" s="5">
        <v>92233</v>
      </c>
      <c r="H833" s="5">
        <v>192692</v>
      </c>
      <c r="I833" s="4">
        <v>16</v>
      </c>
      <c r="J833" s="4">
        <v>0.97</v>
      </c>
      <c r="K833" s="4">
        <v>6.29</v>
      </c>
      <c r="L833" s="4">
        <v>1.2</v>
      </c>
      <c r="M833" s="4">
        <v>3</v>
      </c>
      <c r="N833" s="4">
        <v>70</v>
      </c>
      <c r="O833" s="4" t="str">
        <f t="shared" si="24"/>
        <v>EMI</v>
      </c>
      <c r="P833" s="5">
        <f t="shared" si="25"/>
        <v>93339.796000000002</v>
      </c>
    </row>
    <row r="834" spans="1:16" x14ac:dyDescent="0.25">
      <c r="A834" s="4">
        <v>2020</v>
      </c>
      <c r="B834" s="4">
        <v>5</v>
      </c>
      <c r="C834" s="12" t="s">
        <v>23</v>
      </c>
      <c r="D834" s="4" t="s">
        <v>20</v>
      </c>
      <c r="E834" s="4" t="s">
        <v>17</v>
      </c>
      <c r="F834" s="4" t="s">
        <v>21</v>
      </c>
      <c r="G834" s="5">
        <v>117821</v>
      </c>
      <c r="H834" s="5">
        <v>58177</v>
      </c>
      <c r="I834" s="4">
        <v>281</v>
      </c>
      <c r="J834" s="4">
        <v>0.97</v>
      </c>
      <c r="K834" s="4">
        <v>6.29</v>
      </c>
      <c r="L834" s="4">
        <v>1.2</v>
      </c>
      <c r="M834" s="4">
        <v>3</v>
      </c>
      <c r="N834" s="4">
        <v>654</v>
      </c>
      <c r="O834" s="4" t="str">
        <f t="shared" ref="O834:O897" si="26">IF(M834&gt;2,"EMI",IF(H834&gt;300000,"Discount","Full"))</f>
        <v>EMI</v>
      </c>
      <c r="P834" s="5">
        <f t="shared" ref="P834:P897" si="27">IF(O834="EMI", G834*(1+L834/100), IF(O834="Full", G834, G834*0.9))</f>
        <v>119234.852</v>
      </c>
    </row>
    <row r="835" spans="1:16" x14ac:dyDescent="0.25">
      <c r="A835" s="4">
        <v>2019</v>
      </c>
      <c r="B835" s="4">
        <v>4</v>
      </c>
      <c r="C835" s="12" t="s">
        <v>26</v>
      </c>
      <c r="D835" s="4" t="s">
        <v>22</v>
      </c>
      <c r="E835" s="4" t="s">
        <v>17</v>
      </c>
      <c r="F835" s="4" t="s">
        <v>18</v>
      </c>
      <c r="G835" s="5">
        <v>49380</v>
      </c>
      <c r="H835" s="5">
        <v>473327</v>
      </c>
      <c r="I835" s="4">
        <v>236</v>
      </c>
      <c r="J835" s="4">
        <v>0.97</v>
      </c>
      <c r="K835" s="4">
        <v>6.29</v>
      </c>
      <c r="L835" s="4">
        <v>1.2</v>
      </c>
      <c r="M835" s="4">
        <v>1</v>
      </c>
      <c r="N835" s="4">
        <v>584</v>
      </c>
      <c r="O835" s="4" t="str">
        <f t="shared" si="26"/>
        <v>Discount</v>
      </c>
      <c r="P835" s="5">
        <f t="shared" si="27"/>
        <v>44442</v>
      </c>
    </row>
    <row r="836" spans="1:16" x14ac:dyDescent="0.25">
      <c r="A836" s="4">
        <v>2020</v>
      </c>
      <c r="B836" s="4">
        <v>12</v>
      </c>
      <c r="C836" s="12" t="s">
        <v>30</v>
      </c>
      <c r="D836" s="4" t="s">
        <v>29</v>
      </c>
      <c r="E836" s="4" t="s">
        <v>14</v>
      </c>
      <c r="F836" s="4" t="s">
        <v>18</v>
      </c>
      <c r="G836" s="5">
        <v>111896</v>
      </c>
      <c r="H836" s="5">
        <v>301842</v>
      </c>
      <c r="I836" s="4">
        <v>25</v>
      </c>
      <c r="J836" s="4">
        <v>0.97</v>
      </c>
      <c r="K836" s="4">
        <v>6.29</v>
      </c>
      <c r="L836" s="4">
        <v>1.2</v>
      </c>
      <c r="M836" s="4">
        <v>6</v>
      </c>
      <c r="N836" s="4">
        <v>396</v>
      </c>
      <c r="O836" s="4" t="str">
        <f t="shared" si="26"/>
        <v>EMI</v>
      </c>
      <c r="P836" s="5">
        <f t="shared" si="27"/>
        <v>113238.75200000001</v>
      </c>
    </row>
    <row r="837" spans="1:16" x14ac:dyDescent="0.25">
      <c r="A837" s="4">
        <v>2020</v>
      </c>
      <c r="B837" s="4">
        <v>12</v>
      </c>
      <c r="C837" s="12" t="s">
        <v>30</v>
      </c>
      <c r="D837" s="4" t="s">
        <v>27</v>
      </c>
      <c r="E837" s="4" t="s">
        <v>18</v>
      </c>
      <c r="F837" s="4" t="s">
        <v>18</v>
      </c>
      <c r="G837" s="5">
        <v>105934</v>
      </c>
      <c r="H837" s="5">
        <v>400722</v>
      </c>
      <c r="I837" s="4">
        <v>21</v>
      </c>
      <c r="J837" s="4">
        <v>0.97</v>
      </c>
      <c r="K837" s="4">
        <v>6.29</v>
      </c>
      <c r="L837" s="4">
        <v>1.2</v>
      </c>
      <c r="M837" s="4">
        <v>9</v>
      </c>
      <c r="N837" s="4">
        <v>238</v>
      </c>
      <c r="O837" s="4" t="str">
        <f t="shared" si="26"/>
        <v>EMI</v>
      </c>
      <c r="P837" s="5">
        <f t="shared" si="27"/>
        <v>107205.208</v>
      </c>
    </row>
    <row r="838" spans="1:16" x14ac:dyDescent="0.25">
      <c r="A838" s="4">
        <v>2021</v>
      </c>
      <c r="B838" s="4">
        <v>4</v>
      </c>
      <c r="C838" s="12" t="s">
        <v>12</v>
      </c>
      <c r="D838" s="4" t="s">
        <v>32</v>
      </c>
      <c r="E838" s="4" t="s">
        <v>17</v>
      </c>
      <c r="F838" s="4" t="s">
        <v>25</v>
      </c>
      <c r="G838" s="5">
        <v>90830</v>
      </c>
      <c r="H838" s="5">
        <v>139941</v>
      </c>
      <c r="I838" s="4">
        <v>300</v>
      </c>
      <c r="J838" s="4">
        <v>0.97</v>
      </c>
      <c r="K838" s="4">
        <v>6.29</v>
      </c>
      <c r="L838" s="4">
        <v>1.2</v>
      </c>
      <c r="M838" s="4">
        <v>8</v>
      </c>
      <c r="N838" s="4">
        <v>629</v>
      </c>
      <c r="O838" s="4" t="str">
        <f t="shared" si="26"/>
        <v>EMI</v>
      </c>
      <c r="P838" s="5">
        <f t="shared" si="27"/>
        <v>91919.96</v>
      </c>
    </row>
    <row r="839" spans="1:16" x14ac:dyDescent="0.25">
      <c r="A839" s="4">
        <v>2018</v>
      </c>
      <c r="B839" s="4">
        <v>12</v>
      </c>
      <c r="C839" s="12" t="s">
        <v>36</v>
      </c>
      <c r="D839" s="4" t="s">
        <v>16</v>
      </c>
      <c r="E839" s="4" t="s">
        <v>14</v>
      </c>
      <c r="F839" s="4" t="s">
        <v>21</v>
      </c>
      <c r="G839" s="5">
        <v>40529</v>
      </c>
      <c r="H839" s="5">
        <v>308121</v>
      </c>
      <c r="I839" s="4">
        <v>250</v>
      </c>
      <c r="J839" s="4">
        <v>0.97</v>
      </c>
      <c r="K839" s="4">
        <v>6.29</v>
      </c>
      <c r="L839" s="4">
        <v>1.2</v>
      </c>
      <c r="M839" s="4">
        <v>7</v>
      </c>
      <c r="N839" s="4">
        <v>662</v>
      </c>
      <c r="O839" s="4" t="str">
        <f t="shared" si="26"/>
        <v>EMI</v>
      </c>
      <c r="P839" s="5">
        <f t="shared" si="27"/>
        <v>41015.347999999998</v>
      </c>
    </row>
    <row r="840" spans="1:16" x14ac:dyDescent="0.25">
      <c r="A840" s="4">
        <v>2022</v>
      </c>
      <c r="B840" s="4">
        <v>8</v>
      </c>
      <c r="C840" s="12" t="s">
        <v>23</v>
      </c>
      <c r="D840" s="4" t="s">
        <v>13</v>
      </c>
      <c r="E840" s="4" t="s">
        <v>17</v>
      </c>
      <c r="F840" s="4" t="s">
        <v>25</v>
      </c>
      <c r="G840" s="5">
        <v>117987</v>
      </c>
      <c r="H840" s="5">
        <v>61826</v>
      </c>
      <c r="I840" s="4">
        <v>30</v>
      </c>
      <c r="J840" s="4">
        <v>0.97</v>
      </c>
      <c r="K840" s="4">
        <v>6.29</v>
      </c>
      <c r="L840" s="4">
        <v>1.2</v>
      </c>
      <c r="M840" s="4">
        <v>10</v>
      </c>
      <c r="N840" s="4">
        <v>80</v>
      </c>
      <c r="O840" s="4" t="str">
        <f t="shared" si="26"/>
        <v>EMI</v>
      </c>
      <c r="P840" s="5">
        <f t="shared" si="27"/>
        <v>119402.844</v>
      </c>
    </row>
    <row r="841" spans="1:16" x14ac:dyDescent="0.25">
      <c r="A841" s="4">
        <v>2021</v>
      </c>
      <c r="B841" s="4">
        <v>2</v>
      </c>
      <c r="C841" s="12" t="s">
        <v>12</v>
      </c>
      <c r="D841" s="4" t="s">
        <v>27</v>
      </c>
      <c r="E841" s="4" t="s">
        <v>17</v>
      </c>
      <c r="F841" s="4" t="s">
        <v>21</v>
      </c>
      <c r="G841" s="5">
        <v>84178</v>
      </c>
      <c r="H841" s="5">
        <v>194962</v>
      </c>
      <c r="I841" s="4">
        <v>187</v>
      </c>
      <c r="J841" s="4">
        <v>0.97</v>
      </c>
      <c r="K841" s="4">
        <v>6.29</v>
      </c>
      <c r="L841" s="4">
        <v>1.2</v>
      </c>
      <c r="M841" s="4">
        <v>8</v>
      </c>
      <c r="N841" s="4">
        <v>401</v>
      </c>
      <c r="O841" s="4" t="str">
        <f t="shared" si="26"/>
        <v>EMI</v>
      </c>
      <c r="P841" s="5">
        <f t="shared" si="27"/>
        <v>85188.135999999999</v>
      </c>
    </row>
    <row r="842" spans="1:16" x14ac:dyDescent="0.25">
      <c r="A842" s="4">
        <v>2023</v>
      </c>
      <c r="B842" s="4">
        <v>1</v>
      </c>
      <c r="C842" s="12" t="s">
        <v>34</v>
      </c>
      <c r="D842" s="4" t="s">
        <v>32</v>
      </c>
      <c r="E842" s="4" t="s">
        <v>18</v>
      </c>
      <c r="F842" s="4" t="s">
        <v>15</v>
      </c>
      <c r="G842" s="5">
        <v>41937</v>
      </c>
      <c r="H842" s="5">
        <v>394572</v>
      </c>
      <c r="I842" s="4">
        <v>237</v>
      </c>
      <c r="J842" s="4">
        <v>0.97</v>
      </c>
      <c r="K842" s="4">
        <v>6.29</v>
      </c>
      <c r="L842" s="4">
        <v>1.2</v>
      </c>
      <c r="M842" s="4">
        <v>6</v>
      </c>
      <c r="N842" s="4">
        <v>588</v>
      </c>
      <c r="O842" s="4" t="str">
        <f t="shared" si="26"/>
        <v>EMI</v>
      </c>
      <c r="P842" s="5">
        <f t="shared" si="27"/>
        <v>42440.243999999999</v>
      </c>
    </row>
    <row r="843" spans="1:16" x14ac:dyDescent="0.25">
      <c r="A843" s="4">
        <v>2021</v>
      </c>
      <c r="B843" s="4">
        <v>3</v>
      </c>
      <c r="C843" s="12" t="s">
        <v>33</v>
      </c>
      <c r="D843" s="4" t="s">
        <v>32</v>
      </c>
      <c r="E843" s="4" t="s">
        <v>14</v>
      </c>
      <c r="F843" s="4" t="s">
        <v>25</v>
      </c>
      <c r="G843" s="5">
        <v>74886</v>
      </c>
      <c r="H843" s="5">
        <v>176044</v>
      </c>
      <c r="I843" s="4">
        <v>282</v>
      </c>
      <c r="J843" s="4">
        <v>0.97</v>
      </c>
      <c r="K843" s="4">
        <v>6.29</v>
      </c>
      <c r="L843" s="4">
        <v>1.2</v>
      </c>
      <c r="M843" s="4">
        <v>9</v>
      </c>
      <c r="N843" s="4">
        <v>935</v>
      </c>
      <c r="O843" s="4" t="str">
        <f t="shared" si="26"/>
        <v>EMI</v>
      </c>
      <c r="P843" s="5">
        <f t="shared" si="27"/>
        <v>75784.631999999998</v>
      </c>
    </row>
    <row r="844" spans="1:16" x14ac:dyDescent="0.25">
      <c r="A844" s="4">
        <v>2017</v>
      </c>
      <c r="B844" s="4">
        <v>9</v>
      </c>
      <c r="C844" s="12" t="s">
        <v>26</v>
      </c>
      <c r="D844" s="4" t="s">
        <v>22</v>
      </c>
      <c r="E844" s="4" t="s">
        <v>18</v>
      </c>
      <c r="F844" s="4" t="s">
        <v>25</v>
      </c>
      <c r="G844" s="5">
        <v>84699</v>
      </c>
      <c r="H844" s="5">
        <v>239103</v>
      </c>
      <c r="I844" s="4">
        <v>297</v>
      </c>
      <c r="J844" s="4">
        <v>0.97</v>
      </c>
      <c r="K844" s="4">
        <v>6.29</v>
      </c>
      <c r="L844" s="4">
        <v>1.2</v>
      </c>
      <c r="M844" s="4">
        <v>3</v>
      </c>
      <c r="N844" s="4">
        <v>796</v>
      </c>
      <c r="O844" s="4" t="str">
        <f t="shared" si="26"/>
        <v>EMI</v>
      </c>
      <c r="P844" s="5">
        <f t="shared" si="27"/>
        <v>85715.388000000006</v>
      </c>
    </row>
    <row r="845" spans="1:16" x14ac:dyDescent="0.25">
      <c r="A845" s="4">
        <v>2017</v>
      </c>
      <c r="B845" s="4">
        <v>4</v>
      </c>
      <c r="C845" s="12" t="s">
        <v>35</v>
      </c>
      <c r="D845" s="4" t="s">
        <v>22</v>
      </c>
      <c r="E845" s="4" t="s">
        <v>18</v>
      </c>
      <c r="F845" s="4" t="s">
        <v>15</v>
      </c>
      <c r="G845" s="5">
        <v>111396</v>
      </c>
      <c r="H845" s="5">
        <v>387164</v>
      </c>
      <c r="I845" s="4">
        <v>306</v>
      </c>
      <c r="J845" s="4">
        <v>0.97</v>
      </c>
      <c r="K845" s="4">
        <v>6.29</v>
      </c>
      <c r="L845" s="4">
        <v>1.2</v>
      </c>
      <c r="M845" s="4">
        <v>10</v>
      </c>
      <c r="N845" s="4">
        <v>964</v>
      </c>
      <c r="O845" s="4" t="str">
        <f t="shared" si="26"/>
        <v>EMI</v>
      </c>
      <c r="P845" s="5">
        <f t="shared" si="27"/>
        <v>112732.75200000001</v>
      </c>
    </row>
    <row r="846" spans="1:16" x14ac:dyDescent="0.25">
      <c r="A846" s="4">
        <v>2022</v>
      </c>
      <c r="B846" s="4">
        <v>10</v>
      </c>
      <c r="C846" s="12" t="s">
        <v>34</v>
      </c>
      <c r="D846" s="4" t="s">
        <v>22</v>
      </c>
      <c r="E846" s="4" t="s">
        <v>17</v>
      </c>
      <c r="F846" s="4" t="s">
        <v>21</v>
      </c>
      <c r="G846" s="5">
        <v>60279</v>
      </c>
      <c r="H846" s="5">
        <v>55495</v>
      </c>
      <c r="I846" s="4">
        <v>143</v>
      </c>
      <c r="J846" s="4">
        <v>0.97</v>
      </c>
      <c r="K846" s="4">
        <v>6.29</v>
      </c>
      <c r="L846" s="4">
        <v>1.2</v>
      </c>
      <c r="M846" s="4">
        <v>10</v>
      </c>
      <c r="N846" s="4">
        <v>312</v>
      </c>
      <c r="O846" s="4" t="str">
        <f t="shared" si="26"/>
        <v>EMI</v>
      </c>
      <c r="P846" s="5">
        <f t="shared" si="27"/>
        <v>61002.347999999998</v>
      </c>
    </row>
    <row r="847" spans="1:16" x14ac:dyDescent="0.25">
      <c r="A847" s="4">
        <v>2019</v>
      </c>
      <c r="B847" s="4">
        <v>5</v>
      </c>
      <c r="C847" s="12" t="s">
        <v>36</v>
      </c>
      <c r="D847" s="4" t="s">
        <v>24</v>
      </c>
      <c r="E847" s="4" t="s">
        <v>18</v>
      </c>
      <c r="F847" s="4" t="s">
        <v>18</v>
      </c>
      <c r="G847" s="5">
        <v>73106</v>
      </c>
      <c r="H847" s="5">
        <v>78481</v>
      </c>
      <c r="I847" s="4">
        <v>292</v>
      </c>
      <c r="J847" s="4">
        <v>0.97</v>
      </c>
      <c r="K847" s="4">
        <v>6.29</v>
      </c>
      <c r="L847" s="4">
        <v>1.2</v>
      </c>
      <c r="M847" s="4">
        <v>9</v>
      </c>
      <c r="N847" s="4">
        <v>977</v>
      </c>
      <c r="O847" s="4" t="str">
        <f t="shared" si="26"/>
        <v>EMI</v>
      </c>
      <c r="P847" s="5">
        <f t="shared" si="27"/>
        <v>73983.271999999997</v>
      </c>
    </row>
    <row r="848" spans="1:16" x14ac:dyDescent="0.25">
      <c r="A848" s="4">
        <v>2018</v>
      </c>
      <c r="B848" s="4">
        <v>2</v>
      </c>
      <c r="C848" s="12" t="s">
        <v>28</v>
      </c>
      <c r="D848" s="4" t="s">
        <v>24</v>
      </c>
      <c r="E848" s="4" t="s">
        <v>14</v>
      </c>
      <c r="F848" s="4" t="s">
        <v>15</v>
      </c>
      <c r="G848" s="5">
        <v>114737</v>
      </c>
      <c r="H848" s="5">
        <v>192339</v>
      </c>
      <c r="I848" s="4">
        <v>162</v>
      </c>
      <c r="J848" s="4">
        <v>0.97</v>
      </c>
      <c r="K848" s="4">
        <v>6.29</v>
      </c>
      <c r="L848" s="4">
        <v>1.2</v>
      </c>
      <c r="M848" s="4">
        <v>4</v>
      </c>
      <c r="N848" s="4">
        <v>747</v>
      </c>
      <c r="O848" s="4" t="str">
        <f t="shared" si="26"/>
        <v>EMI</v>
      </c>
      <c r="P848" s="5">
        <f t="shared" si="27"/>
        <v>116113.844</v>
      </c>
    </row>
    <row r="849" spans="1:16" x14ac:dyDescent="0.25">
      <c r="A849" s="4">
        <v>2022</v>
      </c>
      <c r="B849" s="4">
        <v>4</v>
      </c>
      <c r="C849" s="12" t="s">
        <v>28</v>
      </c>
      <c r="D849" s="4" t="s">
        <v>32</v>
      </c>
      <c r="E849" s="4" t="s">
        <v>18</v>
      </c>
      <c r="F849" s="4" t="s">
        <v>18</v>
      </c>
      <c r="G849" s="5">
        <v>75544</v>
      </c>
      <c r="H849" s="5">
        <v>430041</v>
      </c>
      <c r="I849" s="4">
        <v>75</v>
      </c>
      <c r="J849" s="4">
        <v>0.97</v>
      </c>
      <c r="K849" s="4">
        <v>6.29</v>
      </c>
      <c r="L849" s="4">
        <v>1.2</v>
      </c>
      <c r="M849" s="4">
        <v>7</v>
      </c>
      <c r="N849" s="4">
        <v>581</v>
      </c>
      <c r="O849" s="4" t="str">
        <f t="shared" si="26"/>
        <v>EMI</v>
      </c>
      <c r="P849" s="5">
        <f t="shared" si="27"/>
        <v>76450.528000000006</v>
      </c>
    </row>
    <row r="850" spans="1:16" x14ac:dyDescent="0.25">
      <c r="A850" s="4">
        <v>2020</v>
      </c>
      <c r="B850" s="4">
        <v>2</v>
      </c>
      <c r="C850" s="12" t="s">
        <v>34</v>
      </c>
      <c r="D850" s="4" t="s">
        <v>22</v>
      </c>
      <c r="E850" s="4" t="s">
        <v>18</v>
      </c>
      <c r="F850" s="4" t="s">
        <v>18</v>
      </c>
      <c r="G850" s="5">
        <v>43997</v>
      </c>
      <c r="H850" s="5">
        <v>286774</v>
      </c>
      <c r="I850" s="4">
        <v>146</v>
      </c>
      <c r="J850" s="4">
        <v>0.97</v>
      </c>
      <c r="K850" s="4">
        <v>6.29</v>
      </c>
      <c r="L850" s="4">
        <v>1.2</v>
      </c>
      <c r="M850" s="4">
        <v>9</v>
      </c>
      <c r="N850" s="4">
        <v>389</v>
      </c>
      <c r="O850" s="4" t="str">
        <f t="shared" si="26"/>
        <v>EMI</v>
      </c>
      <c r="P850" s="5">
        <f t="shared" si="27"/>
        <v>44524.964</v>
      </c>
    </row>
    <row r="851" spans="1:16" x14ac:dyDescent="0.25">
      <c r="A851" s="4">
        <v>2016</v>
      </c>
      <c r="B851" s="4">
        <v>2</v>
      </c>
      <c r="C851" s="12" t="s">
        <v>12</v>
      </c>
      <c r="D851" s="4" t="s">
        <v>37</v>
      </c>
      <c r="E851" s="4" t="s">
        <v>18</v>
      </c>
      <c r="F851" s="4" t="s">
        <v>15</v>
      </c>
      <c r="G851" s="5">
        <v>75860</v>
      </c>
      <c r="H851" s="5">
        <v>187815</v>
      </c>
      <c r="I851" s="4">
        <v>101</v>
      </c>
      <c r="J851" s="4">
        <v>0.97</v>
      </c>
      <c r="K851" s="4">
        <v>6.29</v>
      </c>
      <c r="L851" s="4">
        <v>1.2</v>
      </c>
      <c r="M851" s="4">
        <v>2</v>
      </c>
      <c r="N851" s="4">
        <v>330</v>
      </c>
      <c r="O851" s="4" t="str">
        <f t="shared" si="26"/>
        <v>Full</v>
      </c>
      <c r="P851" s="5">
        <f t="shared" si="27"/>
        <v>75860</v>
      </c>
    </row>
    <row r="852" spans="1:16" x14ac:dyDescent="0.25">
      <c r="A852" s="4">
        <v>2018</v>
      </c>
      <c r="B852" s="4">
        <v>4</v>
      </c>
      <c r="C852" s="12" t="s">
        <v>35</v>
      </c>
      <c r="D852" s="4" t="s">
        <v>16</v>
      </c>
      <c r="E852" s="4" t="s">
        <v>17</v>
      </c>
      <c r="F852" s="4" t="s">
        <v>21</v>
      </c>
      <c r="G852" s="5">
        <v>38225</v>
      </c>
      <c r="H852" s="5">
        <v>498016</v>
      </c>
      <c r="I852" s="4">
        <v>326</v>
      </c>
      <c r="J852" s="4">
        <v>0.97</v>
      </c>
      <c r="K852" s="4">
        <v>6.29</v>
      </c>
      <c r="L852" s="4">
        <v>1.2</v>
      </c>
      <c r="M852" s="4">
        <v>2</v>
      </c>
      <c r="N852" s="4">
        <v>1118</v>
      </c>
      <c r="O852" s="4" t="str">
        <f t="shared" si="26"/>
        <v>Discount</v>
      </c>
      <c r="P852" s="5">
        <f t="shared" si="27"/>
        <v>34402.5</v>
      </c>
    </row>
    <row r="853" spans="1:16" x14ac:dyDescent="0.25">
      <c r="A853" s="4">
        <v>2018</v>
      </c>
      <c r="B853" s="4">
        <v>6</v>
      </c>
      <c r="C853" s="12" t="s">
        <v>19</v>
      </c>
      <c r="D853" s="4" t="s">
        <v>27</v>
      </c>
      <c r="E853" s="4" t="s">
        <v>14</v>
      </c>
      <c r="F853" s="4" t="s">
        <v>18</v>
      </c>
      <c r="G853" s="5">
        <v>94470</v>
      </c>
      <c r="H853" s="5">
        <v>153475</v>
      </c>
      <c r="I853" s="4">
        <v>268</v>
      </c>
      <c r="J853" s="4">
        <v>0.97</v>
      </c>
      <c r="K853" s="4">
        <v>6.29</v>
      </c>
      <c r="L853" s="4">
        <v>1.2</v>
      </c>
      <c r="M853" s="4">
        <v>9</v>
      </c>
      <c r="N853" s="4">
        <v>733</v>
      </c>
      <c r="O853" s="4" t="str">
        <f t="shared" si="26"/>
        <v>EMI</v>
      </c>
      <c r="P853" s="5">
        <f t="shared" si="27"/>
        <v>95603.64</v>
      </c>
    </row>
    <row r="854" spans="1:16" x14ac:dyDescent="0.25">
      <c r="A854" s="4">
        <v>2020</v>
      </c>
      <c r="B854" s="4">
        <v>7</v>
      </c>
      <c r="C854" s="12" t="s">
        <v>19</v>
      </c>
      <c r="D854" s="4" t="s">
        <v>27</v>
      </c>
      <c r="E854" s="4" t="s">
        <v>17</v>
      </c>
      <c r="F854" s="4" t="s">
        <v>15</v>
      </c>
      <c r="G854" s="5">
        <v>98656</v>
      </c>
      <c r="H854" s="5">
        <v>229845</v>
      </c>
      <c r="I854" s="4">
        <v>112</v>
      </c>
      <c r="J854" s="4">
        <v>0.97</v>
      </c>
      <c r="K854" s="4">
        <v>6.29</v>
      </c>
      <c r="L854" s="4">
        <v>1.2</v>
      </c>
      <c r="M854" s="4">
        <v>3</v>
      </c>
      <c r="N854" s="4">
        <v>479</v>
      </c>
      <c r="O854" s="4" t="str">
        <f t="shared" si="26"/>
        <v>EMI</v>
      </c>
      <c r="P854" s="5">
        <f t="shared" si="27"/>
        <v>99839.872000000003</v>
      </c>
    </row>
    <row r="855" spans="1:16" x14ac:dyDescent="0.25">
      <c r="A855" s="4">
        <v>2020</v>
      </c>
      <c r="B855" s="4">
        <v>10</v>
      </c>
      <c r="C855" s="12" t="s">
        <v>36</v>
      </c>
      <c r="D855" s="4" t="s">
        <v>24</v>
      </c>
      <c r="E855" s="4" t="s">
        <v>17</v>
      </c>
      <c r="F855" s="4" t="s">
        <v>25</v>
      </c>
      <c r="G855" s="5">
        <v>86880</v>
      </c>
      <c r="H855" s="5">
        <v>369186</v>
      </c>
      <c r="I855" s="4">
        <v>64</v>
      </c>
      <c r="J855" s="4">
        <v>0.97</v>
      </c>
      <c r="K855" s="4">
        <v>6.29</v>
      </c>
      <c r="L855" s="4">
        <v>1.2</v>
      </c>
      <c r="M855" s="4">
        <v>9</v>
      </c>
      <c r="N855" s="4">
        <v>194</v>
      </c>
      <c r="O855" s="4" t="str">
        <f t="shared" si="26"/>
        <v>EMI</v>
      </c>
      <c r="P855" s="5">
        <f t="shared" si="27"/>
        <v>87922.559999999998</v>
      </c>
    </row>
    <row r="856" spans="1:16" x14ac:dyDescent="0.25">
      <c r="A856" s="4">
        <v>2015</v>
      </c>
      <c r="B856" s="4">
        <v>3</v>
      </c>
      <c r="C856" s="12" t="s">
        <v>12</v>
      </c>
      <c r="D856" s="4" t="s">
        <v>32</v>
      </c>
      <c r="E856" s="4" t="s">
        <v>17</v>
      </c>
      <c r="F856" s="4" t="s">
        <v>25</v>
      </c>
      <c r="G856" s="5">
        <v>96078</v>
      </c>
      <c r="H856" s="5">
        <v>99476</v>
      </c>
      <c r="I856" s="4">
        <v>266</v>
      </c>
      <c r="J856" s="4">
        <v>0.97</v>
      </c>
      <c r="K856" s="4">
        <v>6.29</v>
      </c>
      <c r="L856" s="4">
        <v>1.2</v>
      </c>
      <c r="M856" s="4">
        <v>5</v>
      </c>
      <c r="N856" s="4">
        <v>637</v>
      </c>
      <c r="O856" s="4" t="str">
        <f t="shared" si="26"/>
        <v>EMI</v>
      </c>
      <c r="P856" s="5">
        <f t="shared" si="27"/>
        <v>97230.936000000002</v>
      </c>
    </row>
    <row r="857" spans="1:16" x14ac:dyDescent="0.25">
      <c r="A857" s="4">
        <v>2022</v>
      </c>
      <c r="B857" s="4">
        <v>3</v>
      </c>
      <c r="C857" s="12" t="s">
        <v>30</v>
      </c>
      <c r="D857" s="4" t="s">
        <v>13</v>
      </c>
      <c r="E857" s="4" t="s">
        <v>17</v>
      </c>
      <c r="F857" s="4" t="s">
        <v>25</v>
      </c>
      <c r="G857" s="5">
        <v>111290</v>
      </c>
      <c r="H857" s="5">
        <v>273177</v>
      </c>
      <c r="I857" s="4">
        <v>110</v>
      </c>
      <c r="J857" s="4">
        <v>0.97</v>
      </c>
      <c r="K857" s="4">
        <v>6.29</v>
      </c>
      <c r="L857" s="4">
        <v>1.2</v>
      </c>
      <c r="M857" s="4">
        <v>6</v>
      </c>
      <c r="N857" s="4">
        <v>277</v>
      </c>
      <c r="O857" s="4" t="str">
        <f t="shared" si="26"/>
        <v>EMI</v>
      </c>
      <c r="P857" s="5">
        <f t="shared" si="27"/>
        <v>112625.48</v>
      </c>
    </row>
    <row r="858" spans="1:16" x14ac:dyDescent="0.25">
      <c r="A858" s="4">
        <v>2020</v>
      </c>
      <c r="B858" s="4">
        <v>10</v>
      </c>
      <c r="C858" s="12" t="s">
        <v>30</v>
      </c>
      <c r="D858" s="4" t="s">
        <v>31</v>
      </c>
      <c r="E858" s="4" t="s">
        <v>17</v>
      </c>
      <c r="F858" s="4" t="s">
        <v>15</v>
      </c>
      <c r="G858" s="5">
        <v>91633</v>
      </c>
      <c r="H858" s="5">
        <v>340696</v>
      </c>
      <c r="I858" s="4">
        <v>207</v>
      </c>
      <c r="J858" s="4">
        <v>0.97</v>
      </c>
      <c r="K858" s="4">
        <v>6.29</v>
      </c>
      <c r="L858" s="4">
        <v>1.2</v>
      </c>
      <c r="M858" s="4">
        <v>2</v>
      </c>
      <c r="N858" s="4">
        <v>502</v>
      </c>
      <c r="O858" s="4" t="str">
        <f t="shared" si="26"/>
        <v>Discount</v>
      </c>
      <c r="P858" s="5">
        <f t="shared" si="27"/>
        <v>82469.7</v>
      </c>
    </row>
    <row r="859" spans="1:16" x14ac:dyDescent="0.25">
      <c r="A859" s="4">
        <v>2017</v>
      </c>
      <c r="B859" s="4">
        <v>6</v>
      </c>
      <c r="C859" s="12" t="s">
        <v>26</v>
      </c>
      <c r="D859" s="4" t="s">
        <v>31</v>
      </c>
      <c r="E859" s="4" t="s">
        <v>14</v>
      </c>
      <c r="F859" s="4" t="s">
        <v>25</v>
      </c>
      <c r="G859" s="5">
        <v>61655</v>
      </c>
      <c r="H859" s="5">
        <v>246314</v>
      </c>
      <c r="I859" s="4">
        <v>310</v>
      </c>
      <c r="J859" s="4">
        <v>0.97</v>
      </c>
      <c r="K859" s="4">
        <v>6.29</v>
      </c>
      <c r="L859" s="4">
        <v>1.2</v>
      </c>
      <c r="M859" s="4">
        <v>8</v>
      </c>
      <c r="N859" s="4">
        <v>1066</v>
      </c>
      <c r="O859" s="4" t="str">
        <f t="shared" si="26"/>
        <v>EMI</v>
      </c>
      <c r="P859" s="5">
        <f t="shared" si="27"/>
        <v>62394.86</v>
      </c>
    </row>
    <row r="860" spans="1:16" x14ac:dyDescent="0.25">
      <c r="A860" s="4">
        <v>2023</v>
      </c>
      <c r="B860" s="4">
        <v>12</v>
      </c>
      <c r="C860" s="12" t="s">
        <v>35</v>
      </c>
      <c r="D860" s="4" t="s">
        <v>24</v>
      </c>
      <c r="E860" s="4" t="s">
        <v>18</v>
      </c>
      <c r="F860" s="4" t="s">
        <v>18</v>
      </c>
      <c r="G860" s="5">
        <v>78601</v>
      </c>
      <c r="H860" s="5">
        <v>488988</v>
      </c>
      <c r="I860" s="4">
        <v>235</v>
      </c>
      <c r="J860" s="4">
        <v>0.97</v>
      </c>
      <c r="K860" s="4">
        <v>6.29</v>
      </c>
      <c r="L860" s="4">
        <v>1.2</v>
      </c>
      <c r="M860" s="4">
        <v>9</v>
      </c>
      <c r="N860" s="4">
        <v>810</v>
      </c>
      <c r="O860" s="4" t="str">
        <f t="shared" si="26"/>
        <v>EMI</v>
      </c>
      <c r="P860" s="5">
        <f t="shared" si="27"/>
        <v>79544.212</v>
      </c>
    </row>
    <row r="861" spans="1:16" x14ac:dyDescent="0.25">
      <c r="A861" s="4">
        <v>2016</v>
      </c>
      <c r="B861" s="4">
        <v>3</v>
      </c>
      <c r="C861" s="12" t="s">
        <v>35</v>
      </c>
      <c r="D861" s="4" t="s">
        <v>13</v>
      </c>
      <c r="E861" s="4" t="s">
        <v>17</v>
      </c>
      <c r="F861" s="4" t="s">
        <v>25</v>
      </c>
      <c r="G861" s="5">
        <v>38114</v>
      </c>
      <c r="H861" s="5">
        <v>486946</v>
      </c>
      <c r="I861" s="4">
        <v>246</v>
      </c>
      <c r="J861" s="4">
        <v>0.97</v>
      </c>
      <c r="K861" s="4">
        <v>6.29</v>
      </c>
      <c r="L861" s="4">
        <v>1.2</v>
      </c>
      <c r="M861" s="4">
        <v>2</v>
      </c>
      <c r="N861" s="4">
        <v>968</v>
      </c>
      <c r="O861" s="4" t="str">
        <f t="shared" si="26"/>
        <v>Discount</v>
      </c>
      <c r="P861" s="5">
        <f t="shared" si="27"/>
        <v>34302.6</v>
      </c>
    </row>
    <row r="862" spans="1:16" x14ac:dyDescent="0.25">
      <c r="A862" s="4">
        <v>2022</v>
      </c>
      <c r="B862" s="4">
        <v>2</v>
      </c>
      <c r="C862" s="12" t="s">
        <v>28</v>
      </c>
      <c r="D862" s="4" t="s">
        <v>24</v>
      </c>
      <c r="E862" s="4" t="s">
        <v>17</v>
      </c>
      <c r="F862" s="4" t="s">
        <v>25</v>
      </c>
      <c r="G862" s="5">
        <v>61502</v>
      </c>
      <c r="H862" s="5">
        <v>210020</v>
      </c>
      <c r="I862" s="4">
        <v>35</v>
      </c>
      <c r="J862" s="4">
        <v>0.97</v>
      </c>
      <c r="K862" s="4">
        <v>6.29</v>
      </c>
      <c r="L862" s="4">
        <v>1.2</v>
      </c>
      <c r="M862" s="4">
        <v>6</v>
      </c>
      <c r="N862" s="4">
        <v>270</v>
      </c>
      <c r="O862" s="4" t="str">
        <f t="shared" si="26"/>
        <v>EMI</v>
      </c>
      <c r="P862" s="5">
        <f t="shared" si="27"/>
        <v>62240.023999999998</v>
      </c>
    </row>
    <row r="863" spans="1:16" x14ac:dyDescent="0.25">
      <c r="A863" s="4">
        <v>2024</v>
      </c>
      <c r="B863" s="4">
        <v>8</v>
      </c>
      <c r="C863" s="12" t="s">
        <v>23</v>
      </c>
      <c r="D863" s="4" t="s">
        <v>31</v>
      </c>
      <c r="E863" s="4" t="s">
        <v>14</v>
      </c>
      <c r="F863" s="4" t="s">
        <v>18</v>
      </c>
      <c r="G863" s="5">
        <v>84768</v>
      </c>
      <c r="H863" s="5">
        <v>257383</v>
      </c>
      <c r="I863" s="4">
        <v>130</v>
      </c>
      <c r="J863" s="4">
        <v>0.97</v>
      </c>
      <c r="K863" s="4">
        <v>6.29</v>
      </c>
      <c r="L863" s="4">
        <v>1.2</v>
      </c>
      <c r="M863" s="4">
        <v>6</v>
      </c>
      <c r="N863" s="4">
        <v>451</v>
      </c>
      <c r="O863" s="4" t="str">
        <f t="shared" si="26"/>
        <v>EMI</v>
      </c>
      <c r="P863" s="5">
        <f t="shared" si="27"/>
        <v>85785.216</v>
      </c>
    </row>
    <row r="864" spans="1:16" x14ac:dyDescent="0.25">
      <c r="A864" s="4">
        <v>2017</v>
      </c>
      <c r="B864" s="4">
        <v>5</v>
      </c>
      <c r="C864" s="12" t="s">
        <v>36</v>
      </c>
      <c r="D864" s="4" t="s">
        <v>13</v>
      </c>
      <c r="E864" s="4" t="s">
        <v>14</v>
      </c>
      <c r="F864" s="4" t="s">
        <v>25</v>
      </c>
      <c r="G864" s="5">
        <v>83128</v>
      </c>
      <c r="H864" s="5">
        <v>119093</v>
      </c>
      <c r="I864" s="4">
        <v>191</v>
      </c>
      <c r="J864" s="4">
        <v>0.97</v>
      </c>
      <c r="K864" s="4">
        <v>6.29</v>
      </c>
      <c r="L864" s="4">
        <v>1.2</v>
      </c>
      <c r="M864" s="4">
        <v>8</v>
      </c>
      <c r="N864" s="4">
        <v>512</v>
      </c>
      <c r="O864" s="4" t="str">
        <f t="shared" si="26"/>
        <v>EMI</v>
      </c>
      <c r="P864" s="5">
        <f t="shared" si="27"/>
        <v>84125.536000000007</v>
      </c>
    </row>
    <row r="865" spans="1:16" x14ac:dyDescent="0.25">
      <c r="A865" s="4">
        <v>2019</v>
      </c>
      <c r="B865" s="4">
        <v>1</v>
      </c>
      <c r="C865" s="12" t="s">
        <v>19</v>
      </c>
      <c r="D865" s="4" t="s">
        <v>22</v>
      </c>
      <c r="E865" s="4" t="s">
        <v>18</v>
      </c>
      <c r="F865" s="4" t="s">
        <v>18</v>
      </c>
      <c r="G865" s="5">
        <v>55028</v>
      </c>
      <c r="H865" s="5">
        <v>119123</v>
      </c>
      <c r="I865" s="4">
        <v>208</v>
      </c>
      <c r="J865" s="4">
        <v>0.97</v>
      </c>
      <c r="K865" s="4">
        <v>6.29</v>
      </c>
      <c r="L865" s="4">
        <v>1.2</v>
      </c>
      <c r="M865" s="4">
        <v>10</v>
      </c>
      <c r="N865" s="4">
        <v>685</v>
      </c>
      <c r="O865" s="4" t="str">
        <f t="shared" si="26"/>
        <v>EMI</v>
      </c>
      <c r="P865" s="5">
        <f t="shared" si="27"/>
        <v>55688.336000000003</v>
      </c>
    </row>
    <row r="866" spans="1:16" x14ac:dyDescent="0.25">
      <c r="A866" s="4">
        <v>2020</v>
      </c>
      <c r="B866" s="4">
        <v>3</v>
      </c>
      <c r="C866" s="12" t="s">
        <v>36</v>
      </c>
      <c r="D866" s="4" t="s">
        <v>32</v>
      </c>
      <c r="E866" s="4" t="s">
        <v>14</v>
      </c>
      <c r="F866" s="4" t="s">
        <v>25</v>
      </c>
      <c r="G866" s="5">
        <v>90565</v>
      </c>
      <c r="H866" s="5">
        <v>66535</v>
      </c>
      <c r="I866" s="4">
        <v>311</v>
      </c>
      <c r="J866" s="4">
        <v>0.97</v>
      </c>
      <c r="K866" s="4">
        <v>6.29</v>
      </c>
      <c r="L866" s="4">
        <v>1.2</v>
      </c>
      <c r="M866" s="4">
        <v>5</v>
      </c>
      <c r="N866" s="4">
        <v>1051</v>
      </c>
      <c r="O866" s="4" t="str">
        <f t="shared" si="26"/>
        <v>EMI</v>
      </c>
      <c r="P866" s="5">
        <f t="shared" si="27"/>
        <v>91651.78</v>
      </c>
    </row>
    <row r="867" spans="1:16" x14ac:dyDescent="0.25">
      <c r="A867" s="4">
        <v>2024</v>
      </c>
      <c r="B867" s="4">
        <v>10</v>
      </c>
      <c r="C867" s="12" t="s">
        <v>30</v>
      </c>
      <c r="D867" s="4" t="s">
        <v>27</v>
      </c>
      <c r="E867" s="4" t="s">
        <v>18</v>
      </c>
      <c r="F867" s="4" t="s">
        <v>18</v>
      </c>
      <c r="G867" s="5">
        <v>118123</v>
      </c>
      <c r="H867" s="5">
        <v>378634</v>
      </c>
      <c r="I867" s="4">
        <v>264</v>
      </c>
      <c r="J867" s="4">
        <v>0.97</v>
      </c>
      <c r="K867" s="4">
        <v>6.29</v>
      </c>
      <c r="L867" s="4">
        <v>1.2</v>
      </c>
      <c r="M867" s="4">
        <v>9</v>
      </c>
      <c r="N867" s="4">
        <v>912</v>
      </c>
      <c r="O867" s="4" t="str">
        <f t="shared" si="26"/>
        <v>EMI</v>
      </c>
      <c r="P867" s="5">
        <f t="shared" si="27"/>
        <v>119540.476</v>
      </c>
    </row>
    <row r="868" spans="1:16" x14ac:dyDescent="0.25">
      <c r="A868" s="4">
        <v>2020</v>
      </c>
      <c r="B868" s="4">
        <v>8</v>
      </c>
      <c r="C868" s="12" t="s">
        <v>30</v>
      </c>
      <c r="D868" s="4" t="s">
        <v>37</v>
      </c>
      <c r="E868" s="4" t="s">
        <v>17</v>
      </c>
      <c r="F868" s="4" t="s">
        <v>25</v>
      </c>
      <c r="G868" s="5">
        <v>70333</v>
      </c>
      <c r="H868" s="5">
        <v>96562</v>
      </c>
      <c r="I868" s="4">
        <v>131</v>
      </c>
      <c r="J868" s="4">
        <v>0.97</v>
      </c>
      <c r="K868" s="4">
        <v>6.29</v>
      </c>
      <c r="L868" s="4">
        <v>1.2</v>
      </c>
      <c r="M868" s="4">
        <v>1</v>
      </c>
      <c r="N868" s="4">
        <v>376</v>
      </c>
      <c r="O868" s="4" t="str">
        <f t="shared" si="26"/>
        <v>Full</v>
      </c>
      <c r="P868" s="5">
        <f t="shared" si="27"/>
        <v>70333</v>
      </c>
    </row>
    <row r="869" spans="1:16" x14ac:dyDescent="0.25">
      <c r="A869" s="4">
        <v>2018</v>
      </c>
      <c r="B869" s="4">
        <v>4</v>
      </c>
      <c r="C869" s="12" t="s">
        <v>34</v>
      </c>
      <c r="D869" s="4" t="s">
        <v>20</v>
      </c>
      <c r="E869" s="4" t="s">
        <v>17</v>
      </c>
      <c r="F869" s="4" t="s">
        <v>18</v>
      </c>
      <c r="G869" s="5">
        <v>38174</v>
      </c>
      <c r="H869" s="5">
        <v>431186</v>
      </c>
      <c r="I869" s="4">
        <v>40</v>
      </c>
      <c r="J869" s="4">
        <v>0.97</v>
      </c>
      <c r="K869" s="4">
        <v>6.29</v>
      </c>
      <c r="L869" s="4">
        <v>1.2</v>
      </c>
      <c r="M869" s="4">
        <v>9</v>
      </c>
      <c r="N869" s="4">
        <v>420</v>
      </c>
      <c r="O869" s="4" t="str">
        <f t="shared" si="26"/>
        <v>EMI</v>
      </c>
      <c r="P869" s="5">
        <f t="shared" si="27"/>
        <v>38632.088000000003</v>
      </c>
    </row>
    <row r="870" spans="1:16" x14ac:dyDescent="0.25">
      <c r="A870" s="4">
        <v>2017</v>
      </c>
      <c r="B870" s="4">
        <v>7</v>
      </c>
      <c r="C870" s="12" t="s">
        <v>26</v>
      </c>
      <c r="D870" s="4" t="s">
        <v>32</v>
      </c>
      <c r="E870" s="4" t="s">
        <v>18</v>
      </c>
      <c r="F870" s="4" t="s">
        <v>15</v>
      </c>
      <c r="G870" s="5">
        <v>70398</v>
      </c>
      <c r="H870" s="5">
        <v>306323</v>
      </c>
      <c r="I870" s="4">
        <v>324</v>
      </c>
      <c r="J870" s="4">
        <v>0.97</v>
      </c>
      <c r="K870" s="4">
        <v>6.29</v>
      </c>
      <c r="L870" s="4">
        <v>1.2</v>
      </c>
      <c r="M870" s="4">
        <v>10</v>
      </c>
      <c r="N870" s="4">
        <v>951</v>
      </c>
      <c r="O870" s="4" t="str">
        <f t="shared" si="26"/>
        <v>EMI</v>
      </c>
      <c r="P870" s="5">
        <f t="shared" si="27"/>
        <v>71242.775999999998</v>
      </c>
    </row>
    <row r="871" spans="1:16" x14ac:dyDescent="0.25">
      <c r="A871" s="4">
        <v>2018</v>
      </c>
      <c r="B871" s="4">
        <v>10</v>
      </c>
      <c r="C871" s="12" t="s">
        <v>35</v>
      </c>
      <c r="D871" s="4" t="s">
        <v>22</v>
      </c>
      <c r="E871" s="4" t="s">
        <v>14</v>
      </c>
      <c r="F871" s="4" t="s">
        <v>18</v>
      </c>
      <c r="G871" s="5">
        <v>70929</v>
      </c>
      <c r="H871" s="5">
        <v>401224</v>
      </c>
      <c r="I871" s="4">
        <v>294</v>
      </c>
      <c r="J871" s="4">
        <v>0.97</v>
      </c>
      <c r="K871" s="4">
        <v>6.29</v>
      </c>
      <c r="L871" s="4">
        <v>1.2</v>
      </c>
      <c r="M871" s="4">
        <v>7</v>
      </c>
      <c r="N871" s="4">
        <v>869</v>
      </c>
      <c r="O871" s="4" t="str">
        <f t="shared" si="26"/>
        <v>EMI</v>
      </c>
      <c r="P871" s="5">
        <f t="shared" si="27"/>
        <v>71780.148000000001</v>
      </c>
    </row>
    <row r="872" spans="1:16" x14ac:dyDescent="0.25">
      <c r="A872" s="4">
        <v>2015</v>
      </c>
      <c r="B872" s="4">
        <v>12</v>
      </c>
      <c r="C872" s="12" t="s">
        <v>33</v>
      </c>
      <c r="D872" s="4" t="s">
        <v>31</v>
      </c>
      <c r="E872" s="4" t="s">
        <v>18</v>
      </c>
      <c r="F872" s="4" t="s">
        <v>25</v>
      </c>
      <c r="G872" s="5">
        <v>39321</v>
      </c>
      <c r="H872" s="5">
        <v>308916</v>
      </c>
      <c r="I872" s="4">
        <v>115</v>
      </c>
      <c r="J872" s="4">
        <v>0.97</v>
      </c>
      <c r="K872" s="4">
        <v>6.29</v>
      </c>
      <c r="L872" s="4">
        <v>1.2</v>
      </c>
      <c r="M872" s="4">
        <v>4</v>
      </c>
      <c r="N872" s="4">
        <v>367</v>
      </c>
      <c r="O872" s="4" t="str">
        <f t="shared" si="26"/>
        <v>EMI</v>
      </c>
      <c r="P872" s="5">
        <f t="shared" si="27"/>
        <v>39792.851999999999</v>
      </c>
    </row>
    <row r="873" spans="1:16" x14ac:dyDescent="0.25">
      <c r="A873" s="4">
        <v>2018</v>
      </c>
      <c r="B873" s="4">
        <v>2</v>
      </c>
      <c r="C873" s="12" t="s">
        <v>36</v>
      </c>
      <c r="D873" s="4" t="s">
        <v>22</v>
      </c>
      <c r="E873" s="4" t="s">
        <v>14</v>
      </c>
      <c r="F873" s="4" t="s">
        <v>25</v>
      </c>
      <c r="G873" s="5">
        <v>90421</v>
      </c>
      <c r="H873" s="5">
        <v>239607</v>
      </c>
      <c r="I873" s="4">
        <v>233</v>
      </c>
      <c r="J873" s="4">
        <v>0.97</v>
      </c>
      <c r="K873" s="4">
        <v>6.29</v>
      </c>
      <c r="L873" s="4">
        <v>1.2</v>
      </c>
      <c r="M873" s="4">
        <v>3</v>
      </c>
      <c r="N873" s="4">
        <v>591</v>
      </c>
      <c r="O873" s="4" t="str">
        <f t="shared" si="26"/>
        <v>EMI</v>
      </c>
      <c r="P873" s="5">
        <f t="shared" si="27"/>
        <v>91506.051999999996</v>
      </c>
    </row>
    <row r="874" spans="1:16" x14ac:dyDescent="0.25">
      <c r="A874" s="4">
        <v>2015</v>
      </c>
      <c r="B874" s="4">
        <v>7</v>
      </c>
      <c r="C874" s="12" t="s">
        <v>30</v>
      </c>
      <c r="D874" s="4" t="s">
        <v>24</v>
      </c>
      <c r="E874" s="4" t="s">
        <v>17</v>
      </c>
      <c r="F874" s="4" t="s">
        <v>21</v>
      </c>
      <c r="G874" s="5">
        <v>107635</v>
      </c>
      <c r="H874" s="5">
        <v>280063</v>
      </c>
      <c r="I874" s="4">
        <v>282</v>
      </c>
      <c r="J874" s="4">
        <v>0.97</v>
      </c>
      <c r="K874" s="4">
        <v>6.29</v>
      </c>
      <c r="L874" s="4">
        <v>1.2</v>
      </c>
      <c r="M874" s="4">
        <v>10</v>
      </c>
      <c r="N874" s="4">
        <v>662</v>
      </c>
      <c r="O874" s="4" t="str">
        <f t="shared" si="26"/>
        <v>EMI</v>
      </c>
      <c r="P874" s="5">
        <f t="shared" si="27"/>
        <v>108926.62</v>
      </c>
    </row>
    <row r="875" spans="1:16" x14ac:dyDescent="0.25">
      <c r="A875" s="4">
        <v>2015</v>
      </c>
      <c r="B875" s="4">
        <v>5</v>
      </c>
      <c r="C875" s="12" t="s">
        <v>23</v>
      </c>
      <c r="D875" s="4" t="s">
        <v>13</v>
      </c>
      <c r="E875" s="4" t="s">
        <v>14</v>
      </c>
      <c r="F875" s="4" t="s">
        <v>18</v>
      </c>
      <c r="G875" s="5">
        <v>58760</v>
      </c>
      <c r="H875" s="5">
        <v>91269</v>
      </c>
      <c r="I875" s="4">
        <v>241</v>
      </c>
      <c r="J875" s="4">
        <v>0.97</v>
      </c>
      <c r="K875" s="4">
        <v>6.29</v>
      </c>
      <c r="L875" s="4">
        <v>1.2</v>
      </c>
      <c r="M875" s="4">
        <v>6</v>
      </c>
      <c r="N875" s="4">
        <v>916</v>
      </c>
      <c r="O875" s="4" t="str">
        <f t="shared" si="26"/>
        <v>EMI</v>
      </c>
      <c r="P875" s="5">
        <f t="shared" si="27"/>
        <v>59465.120000000003</v>
      </c>
    </row>
    <row r="876" spans="1:16" x14ac:dyDescent="0.25">
      <c r="A876" s="4">
        <v>2024</v>
      </c>
      <c r="B876" s="4">
        <v>5</v>
      </c>
      <c r="C876" s="12" t="s">
        <v>28</v>
      </c>
      <c r="D876" s="4" t="s">
        <v>27</v>
      </c>
      <c r="E876" s="4" t="s">
        <v>18</v>
      </c>
      <c r="F876" s="4" t="s">
        <v>15</v>
      </c>
      <c r="G876" s="5">
        <v>46360</v>
      </c>
      <c r="H876" s="5">
        <v>130674</v>
      </c>
      <c r="I876" s="4">
        <v>265</v>
      </c>
      <c r="J876" s="4">
        <v>0.97</v>
      </c>
      <c r="K876" s="4">
        <v>6.29</v>
      </c>
      <c r="L876" s="4">
        <v>1.2</v>
      </c>
      <c r="M876" s="4">
        <v>1</v>
      </c>
      <c r="N876" s="4">
        <v>695</v>
      </c>
      <c r="O876" s="4" t="str">
        <f t="shared" si="26"/>
        <v>Full</v>
      </c>
      <c r="P876" s="5">
        <f t="shared" si="27"/>
        <v>46360</v>
      </c>
    </row>
    <row r="877" spans="1:16" x14ac:dyDescent="0.25">
      <c r="A877" s="4">
        <v>2020</v>
      </c>
      <c r="B877" s="4">
        <v>6</v>
      </c>
      <c r="C877" s="12" t="s">
        <v>19</v>
      </c>
      <c r="D877" s="4" t="s">
        <v>16</v>
      </c>
      <c r="E877" s="4" t="s">
        <v>18</v>
      </c>
      <c r="F877" s="4" t="s">
        <v>18</v>
      </c>
      <c r="G877" s="5">
        <v>45313</v>
      </c>
      <c r="H877" s="5">
        <v>354606</v>
      </c>
      <c r="I877" s="4">
        <v>33</v>
      </c>
      <c r="J877" s="4">
        <v>0.97</v>
      </c>
      <c r="K877" s="4">
        <v>6.29</v>
      </c>
      <c r="L877" s="4">
        <v>1.2</v>
      </c>
      <c r="M877" s="4">
        <v>3</v>
      </c>
      <c r="N877" s="4">
        <v>530</v>
      </c>
      <c r="O877" s="4" t="str">
        <f t="shared" si="26"/>
        <v>EMI</v>
      </c>
      <c r="P877" s="5">
        <f t="shared" si="27"/>
        <v>45856.756000000001</v>
      </c>
    </row>
    <row r="878" spans="1:16" x14ac:dyDescent="0.25">
      <c r="A878" s="4">
        <v>2019</v>
      </c>
      <c r="B878" s="4">
        <v>9</v>
      </c>
      <c r="C878" s="12" t="s">
        <v>26</v>
      </c>
      <c r="D878" s="4" t="s">
        <v>24</v>
      </c>
      <c r="E878" s="4" t="s">
        <v>17</v>
      </c>
      <c r="F878" s="4" t="s">
        <v>18</v>
      </c>
      <c r="G878" s="5">
        <v>40801</v>
      </c>
      <c r="H878" s="5">
        <v>446343</v>
      </c>
      <c r="I878" s="4">
        <v>118</v>
      </c>
      <c r="J878" s="4">
        <v>0.97</v>
      </c>
      <c r="K878" s="4">
        <v>6.29</v>
      </c>
      <c r="L878" s="4">
        <v>1.2</v>
      </c>
      <c r="M878" s="4">
        <v>2</v>
      </c>
      <c r="N878" s="4">
        <v>716</v>
      </c>
      <c r="O878" s="4" t="str">
        <f t="shared" si="26"/>
        <v>Discount</v>
      </c>
      <c r="P878" s="5">
        <f t="shared" si="27"/>
        <v>36720.9</v>
      </c>
    </row>
    <row r="879" spans="1:16" x14ac:dyDescent="0.25">
      <c r="A879" s="4">
        <v>2018</v>
      </c>
      <c r="B879" s="4">
        <v>6</v>
      </c>
      <c r="C879" s="12" t="s">
        <v>23</v>
      </c>
      <c r="D879" s="4" t="s">
        <v>32</v>
      </c>
      <c r="E879" s="4" t="s">
        <v>14</v>
      </c>
      <c r="F879" s="4" t="s">
        <v>15</v>
      </c>
      <c r="G879" s="5">
        <v>49130</v>
      </c>
      <c r="H879" s="5">
        <v>335291</v>
      </c>
      <c r="I879" s="4">
        <v>200</v>
      </c>
      <c r="J879" s="4">
        <v>0.97</v>
      </c>
      <c r="K879" s="4">
        <v>6.29</v>
      </c>
      <c r="L879" s="4">
        <v>1.2</v>
      </c>
      <c r="M879" s="4">
        <v>9</v>
      </c>
      <c r="N879" s="4">
        <v>533</v>
      </c>
      <c r="O879" s="4" t="str">
        <f t="shared" si="26"/>
        <v>EMI</v>
      </c>
      <c r="P879" s="5">
        <f t="shared" si="27"/>
        <v>49719.56</v>
      </c>
    </row>
    <row r="880" spans="1:16" x14ac:dyDescent="0.25">
      <c r="A880" s="4">
        <v>2017</v>
      </c>
      <c r="B880" s="4">
        <v>12</v>
      </c>
      <c r="C880" s="12" t="s">
        <v>26</v>
      </c>
      <c r="D880" s="4" t="s">
        <v>24</v>
      </c>
      <c r="E880" s="4" t="s">
        <v>14</v>
      </c>
      <c r="F880" s="4" t="s">
        <v>18</v>
      </c>
      <c r="G880" s="5">
        <v>49271</v>
      </c>
      <c r="H880" s="5">
        <v>488744</v>
      </c>
      <c r="I880" s="4">
        <v>356</v>
      </c>
      <c r="J880" s="4">
        <v>0.97</v>
      </c>
      <c r="K880" s="4">
        <v>6.29</v>
      </c>
      <c r="L880" s="4">
        <v>1.2</v>
      </c>
      <c r="M880" s="4">
        <v>3</v>
      </c>
      <c r="N880" s="4">
        <v>967</v>
      </c>
      <c r="O880" s="4" t="str">
        <f t="shared" si="26"/>
        <v>EMI</v>
      </c>
      <c r="P880" s="5">
        <f t="shared" si="27"/>
        <v>49862.252</v>
      </c>
    </row>
    <row r="881" spans="1:16" x14ac:dyDescent="0.25">
      <c r="A881" s="4">
        <v>2015</v>
      </c>
      <c r="B881" s="4">
        <v>8</v>
      </c>
      <c r="C881" s="12" t="s">
        <v>34</v>
      </c>
      <c r="D881" s="4" t="s">
        <v>32</v>
      </c>
      <c r="E881" s="4" t="s">
        <v>14</v>
      </c>
      <c r="F881" s="4" t="s">
        <v>15</v>
      </c>
      <c r="G881" s="5">
        <v>51075</v>
      </c>
      <c r="H881" s="5">
        <v>127095</v>
      </c>
      <c r="I881" s="4">
        <v>34</v>
      </c>
      <c r="J881" s="4">
        <v>0.97</v>
      </c>
      <c r="K881" s="4">
        <v>6.29</v>
      </c>
      <c r="L881" s="4">
        <v>1.2</v>
      </c>
      <c r="M881" s="4">
        <v>2</v>
      </c>
      <c r="N881" s="4">
        <v>388</v>
      </c>
      <c r="O881" s="4" t="str">
        <f t="shared" si="26"/>
        <v>Full</v>
      </c>
      <c r="P881" s="5">
        <f t="shared" si="27"/>
        <v>51075</v>
      </c>
    </row>
    <row r="882" spans="1:16" x14ac:dyDescent="0.25">
      <c r="A882" s="4">
        <v>2020</v>
      </c>
      <c r="B882" s="4">
        <v>7</v>
      </c>
      <c r="C882" s="12" t="s">
        <v>33</v>
      </c>
      <c r="D882" s="4" t="s">
        <v>16</v>
      </c>
      <c r="E882" s="4" t="s">
        <v>17</v>
      </c>
      <c r="F882" s="4" t="s">
        <v>15</v>
      </c>
      <c r="G882" s="5">
        <v>53984</v>
      </c>
      <c r="H882" s="5">
        <v>294172</v>
      </c>
      <c r="I882" s="4">
        <v>196</v>
      </c>
      <c r="J882" s="4">
        <v>0.97</v>
      </c>
      <c r="K882" s="4">
        <v>6.29</v>
      </c>
      <c r="L882" s="4">
        <v>1.2</v>
      </c>
      <c r="M882" s="4">
        <v>4</v>
      </c>
      <c r="N882" s="4">
        <v>545</v>
      </c>
      <c r="O882" s="4" t="str">
        <f t="shared" si="26"/>
        <v>EMI</v>
      </c>
      <c r="P882" s="5">
        <f t="shared" si="27"/>
        <v>54631.807999999997</v>
      </c>
    </row>
    <row r="883" spans="1:16" x14ac:dyDescent="0.25">
      <c r="A883" s="4">
        <v>2016</v>
      </c>
      <c r="B883" s="4">
        <v>9</v>
      </c>
      <c r="C883" s="12" t="s">
        <v>30</v>
      </c>
      <c r="D883" s="4" t="s">
        <v>29</v>
      </c>
      <c r="E883" s="4" t="s">
        <v>14</v>
      </c>
      <c r="F883" s="4" t="s">
        <v>18</v>
      </c>
      <c r="G883" s="5">
        <v>95942</v>
      </c>
      <c r="H883" s="5">
        <v>250003</v>
      </c>
      <c r="I883" s="4">
        <v>297</v>
      </c>
      <c r="J883" s="4">
        <v>0.97</v>
      </c>
      <c r="K883" s="4">
        <v>6.29</v>
      </c>
      <c r="L883" s="4">
        <v>1.2</v>
      </c>
      <c r="M883" s="4">
        <v>2</v>
      </c>
      <c r="N883" s="4">
        <v>892</v>
      </c>
      <c r="O883" s="4" t="str">
        <f t="shared" si="26"/>
        <v>Full</v>
      </c>
      <c r="P883" s="5">
        <f t="shared" si="27"/>
        <v>95942</v>
      </c>
    </row>
    <row r="884" spans="1:16" x14ac:dyDescent="0.25">
      <c r="A884" s="4">
        <v>2022</v>
      </c>
      <c r="B884" s="4">
        <v>4</v>
      </c>
      <c r="C884" s="12" t="s">
        <v>28</v>
      </c>
      <c r="D884" s="4" t="s">
        <v>27</v>
      </c>
      <c r="E884" s="4" t="s">
        <v>18</v>
      </c>
      <c r="F884" s="4" t="s">
        <v>18</v>
      </c>
      <c r="G884" s="5">
        <v>47861</v>
      </c>
      <c r="H884" s="5">
        <v>140925</v>
      </c>
      <c r="I884" s="4">
        <v>125</v>
      </c>
      <c r="J884" s="4">
        <v>0.97</v>
      </c>
      <c r="K884" s="4">
        <v>6.29</v>
      </c>
      <c r="L884" s="4">
        <v>1.2</v>
      </c>
      <c r="M884" s="4">
        <v>1</v>
      </c>
      <c r="N884" s="4">
        <v>669</v>
      </c>
      <c r="O884" s="4" t="str">
        <f t="shared" si="26"/>
        <v>Full</v>
      </c>
      <c r="P884" s="5">
        <f t="shared" si="27"/>
        <v>47861</v>
      </c>
    </row>
    <row r="885" spans="1:16" x14ac:dyDescent="0.25">
      <c r="A885" s="4">
        <v>2024</v>
      </c>
      <c r="B885" s="4">
        <v>2</v>
      </c>
      <c r="C885" s="12" t="s">
        <v>23</v>
      </c>
      <c r="D885" s="4" t="s">
        <v>37</v>
      </c>
      <c r="E885" s="4" t="s">
        <v>14</v>
      </c>
      <c r="F885" s="4" t="s">
        <v>25</v>
      </c>
      <c r="G885" s="5">
        <v>117203</v>
      </c>
      <c r="H885" s="5">
        <v>116381</v>
      </c>
      <c r="I885" s="4">
        <v>347</v>
      </c>
      <c r="J885" s="4">
        <v>0.97</v>
      </c>
      <c r="K885" s="4">
        <v>6.29</v>
      </c>
      <c r="L885" s="4">
        <v>1.2</v>
      </c>
      <c r="M885" s="4">
        <v>6</v>
      </c>
      <c r="N885" s="4">
        <v>926</v>
      </c>
      <c r="O885" s="4" t="str">
        <f t="shared" si="26"/>
        <v>EMI</v>
      </c>
      <c r="P885" s="5">
        <f t="shared" si="27"/>
        <v>118609.436</v>
      </c>
    </row>
    <row r="886" spans="1:16" x14ac:dyDescent="0.25">
      <c r="A886" s="4">
        <v>2019</v>
      </c>
      <c r="B886" s="4">
        <v>7</v>
      </c>
      <c r="C886" s="12" t="s">
        <v>26</v>
      </c>
      <c r="D886" s="4" t="s">
        <v>37</v>
      </c>
      <c r="E886" s="4" t="s">
        <v>17</v>
      </c>
      <c r="F886" s="4" t="s">
        <v>25</v>
      </c>
      <c r="G886" s="5">
        <v>106376</v>
      </c>
      <c r="H886" s="5">
        <v>149468</v>
      </c>
      <c r="I886" s="4">
        <v>375</v>
      </c>
      <c r="J886" s="4">
        <v>0.97</v>
      </c>
      <c r="K886" s="4">
        <v>6.29</v>
      </c>
      <c r="L886" s="4">
        <v>1.2</v>
      </c>
      <c r="M886" s="4">
        <v>10</v>
      </c>
      <c r="N886" s="4">
        <v>749</v>
      </c>
      <c r="O886" s="4" t="str">
        <f t="shared" si="26"/>
        <v>EMI</v>
      </c>
      <c r="P886" s="5">
        <f t="shared" si="27"/>
        <v>107652.512</v>
      </c>
    </row>
    <row r="887" spans="1:16" x14ac:dyDescent="0.25">
      <c r="A887" s="4">
        <v>2021</v>
      </c>
      <c r="B887" s="4">
        <v>6</v>
      </c>
      <c r="C887" s="12" t="s">
        <v>35</v>
      </c>
      <c r="D887" s="4" t="s">
        <v>20</v>
      </c>
      <c r="E887" s="4" t="s">
        <v>14</v>
      </c>
      <c r="F887" s="4" t="s">
        <v>21</v>
      </c>
      <c r="G887" s="5">
        <v>96247</v>
      </c>
      <c r="H887" s="5">
        <v>292330</v>
      </c>
      <c r="I887" s="4">
        <v>46</v>
      </c>
      <c r="J887" s="4">
        <v>0.97</v>
      </c>
      <c r="K887" s="4">
        <v>6.29</v>
      </c>
      <c r="L887" s="4">
        <v>1.2</v>
      </c>
      <c r="M887" s="4">
        <v>8</v>
      </c>
      <c r="N887" s="4">
        <v>136</v>
      </c>
      <c r="O887" s="4" t="str">
        <f t="shared" si="26"/>
        <v>EMI</v>
      </c>
      <c r="P887" s="5">
        <f t="shared" si="27"/>
        <v>97401.964000000007</v>
      </c>
    </row>
    <row r="888" spans="1:16" x14ac:dyDescent="0.25">
      <c r="A888" s="4">
        <v>2024</v>
      </c>
      <c r="B888" s="4">
        <v>1</v>
      </c>
      <c r="C888" s="12" t="s">
        <v>34</v>
      </c>
      <c r="D888" s="4" t="s">
        <v>22</v>
      </c>
      <c r="E888" s="4" t="s">
        <v>14</v>
      </c>
      <c r="F888" s="4" t="s">
        <v>21</v>
      </c>
      <c r="G888" s="5">
        <v>104101</v>
      </c>
      <c r="H888" s="5">
        <v>375893</v>
      </c>
      <c r="I888" s="4">
        <v>291</v>
      </c>
      <c r="J888" s="4">
        <v>0.97</v>
      </c>
      <c r="K888" s="4">
        <v>6.29</v>
      </c>
      <c r="L888" s="4">
        <v>1.2</v>
      </c>
      <c r="M888" s="4">
        <v>10</v>
      </c>
      <c r="N888" s="4">
        <v>727</v>
      </c>
      <c r="O888" s="4" t="str">
        <f t="shared" si="26"/>
        <v>EMI</v>
      </c>
      <c r="P888" s="5">
        <f t="shared" si="27"/>
        <v>105350.212</v>
      </c>
    </row>
    <row r="889" spans="1:16" x14ac:dyDescent="0.25">
      <c r="A889" s="4">
        <v>2016</v>
      </c>
      <c r="B889" s="4">
        <v>11</v>
      </c>
      <c r="C889" s="12" t="s">
        <v>35</v>
      </c>
      <c r="D889" s="4" t="s">
        <v>29</v>
      </c>
      <c r="E889" s="4" t="s">
        <v>18</v>
      </c>
      <c r="F889" s="4" t="s">
        <v>18</v>
      </c>
      <c r="G889" s="5">
        <v>55977</v>
      </c>
      <c r="H889" s="5">
        <v>481888</v>
      </c>
      <c r="I889" s="4">
        <v>146</v>
      </c>
      <c r="J889" s="4">
        <v>0.97</v>
      </c>
      <c r="K889" s="4">
        <v>6.29</v>
      </c>
      <c r="L889" s="4">
        <v>1.2</v>
      </c>
      <c r="M889" s="4">
        <v>10</v>
      </c>
      <c r="N889" s="4">
        <v>600</v>
      </c>
      <c r="O889" s="4" t="str">
        <f t="shared" si="26"/>
        <v>EMI</v>
      </c>
      <c r="P889" s="5">
        <f t="shared" si="27"/>
        <v>56648.724000000002</v>
      </c>
    </row>
    <row r="890" spans="1:16" x14ac:dyDescent="0.25">
      <c r="A890" s="4">
        <v>2022</v>
      </c>
      <c r="B890" s="4">
        <v>9</v>
      </c>
      <c r="C890" s="12" t="s">
        <v>28</v>
      </c>
      <c r="D890" s="4" t="s">
        <v>37</v>
      </c>
      <c r="E890" s="4" t="s">
        <v>14</v>
      </c>
      <c r="F890" s="4" t="s">
        <v>15</v>
      </c>
      <c r="G890" s="5">
        <v>85617</v>
      </c>
      <c r="H890" s="5">
        <v>63731</v>
      </c>
      <c r="I890" s="4">
        <v>236</v>
      </c>
      <c r="J890" s="4">
        <v>0.97</v>
      </c>
      <c r="K890" s="4">
        <v>6.29</v>
      </c>
      <c r="L890" s="4">
        <v>1.2</v>
      </c>
      <c r="M890" s="4">
        <v>2</v>
      </c>
      <c r="N890" s="4">
        <v>674</v>
      </c>
      <c r="O890" s="4" t="str">
        <f t="shared" si="26"/>
        <v>Full</v>
      </c>
      <c r="P890" s="5">
        <f t="shared" si="27"/>
        <v>85617</v>
      </c>
    </row>
    <row r="891" spans="1:16" x14ac:dyDescent="0.25">
      <c r="A891" s="4">
        <v>2016</v>
      </c>
      <c r="B891" s="4">
        <v>9</v>
      </c>
      <c r="C891" s="12" t="s">
        <v>23</v>
      </c>
      <c r="D891" s="4" t="s">
        <v>24</v>
      </c>
      <c r="E891" s="4" t="s">
        <v>18</v>
      </c>
      <c r="F891" s="4" t="s">
        <v>21</v>
      </c>
      <c r="G891" s="5">
        <v>92473</v>
      </c>
      <c r="H891" s="5">
        <v>436791</v>
      </c>
      <c r="I891" s="4">
        <v>329</v>
      </c>
      <c r="J891" s="4">
        <v>0.97</v>
      </c>
      <c r="K891" s="4">
        <v>6.29</v>
      </c>
      <c r="L891" s="4">
        <v>1.2</v>
      </c>
      <c r="M891" s="4">
        <v>9</v>
      </c>
      <c r="N891" s="4">
        <v>935</v>
      </c>
      <c r="O891" s="4" t="str">
        <f t="shared" si="26"/>
        <v>EMI</v>
      </c>
      <c r="P891" s="5">
        <f t="shared" si="27"/>
        <v>93582.676000000007</v>
      </c>
    </row>
    <row r="892" spans="1:16" x14ac:dyDescent="0.25">
      <c r="A892" s="4">
        <v>2018</v>
      </c>
      <c r="B892" s="4">
        <v>12</v>
      </c>
      <c r="C892" s="12" t="s">
        <v>34</v>
      </c>
      <c r="D892" s="4" t="s">
        <v>22</v>
      </c>
      <c r="E892" s="4" t="s">
        <v>18</v>
      </c>
      <c r="F892" s="4" t="s">
        <v>18</v>
      </c>
      <c r="G892" s="5">
        <v>107902</v>
      </c>
      <c r="H892" s="5">
        <v>497728</v>
      </c>
      <c r="I892" s="4">
        <v>337</v>
      </c>
      <c r="J892" s="4">
        <v>0.97</v>
      </c>
      <c r="K892" s="4">
        <v>6.29</v>
      </c>
      <c r="L892" s="4">
        <v>1.2</v>
      </c>
      <c r="M892" s="4">
        <v>3</v>
      </c>
      <c r="N892" s="4">
        <v>719</v>
      </c>
      <c r="O892" s="4" t="str">
        <f t="shared" si="26"/>
        <v>EMI</v>
      </c>
      <c r="P892" s="5">
        <f t="shared" si="27"/>
        <v>109196.82400000001</v>
      </c>
    </row>
    <row r="893" spans="1:16" x14ac:dyDescent="0.25">
      <c r="A893" s="4">
        <v>2015</v>
      </c>
      <c r="B893" s="4">
        <v>2</v>
      </c>
      <c r="C893" s="12" t="s">
        <v>23</v>
      </c>
      <c r="D893" s="4" t="s">
        <v>29</v>
      </c>
      <c r="E893" s="4" t="s">
        <v>17</v>
      </c>
      <c r="F893" s="4" t="s">
        <v>21</v>
      </c>
      <c r="G893" s="5">
        <v>50630</v>
      </c>
      <c r="H893" s="5">
        <v>101024</v>
      </c>
      <c r="I893" s="4">
        <v>191</v>
      </c>
      <c r="J893" s="4">
        <v>0.97</v>
      </c>
      <c r="K893" s="4">
        <v>6.29</v>
      </c>
      <c r="L893" s="4">
        <v>1.2</v>
      </c>
      <c r="M893" s="4">
        <v>8</v>
      </c>
      <c r="N893" s="4">
        <v>780</v>
      </c>
      <c r="O893" s="4" t="str">
        <f t="shared" si="26"/>
        <v>EMI</v>
      </c>
      <c r="P893" s="5">
        <f t="shared" si="27"/>
        <v>51237.56</v>
      </c>
    </row>
    <row r="894" spans="1:16" x14ac:dyDescent="0.25">
      <c r="A894" s="4">
        <v>2019</v>
      </c>
      <c r="B894" s="4">
        <v>3</v>
      </c>
      <c r="C894" s="12" t="s">
        <v>30</v>
      </c>
      <c r="D894" s="4" t="s">
        <v>13</v>
      </c>
      <c r="E894" s="4" t="s">
        <v>18</v>
      </c>
      <c r="F894" s="4" t="s">
        <v>15</v>
      </c>
      <c r="G894" s="5">
        <v>55056</v>
      </c>
      <c r="H894" s="5">
        <v>166712</v>
      </c>
      <c r="I894" s="4">
        <v>371</v>
      </c>
      <c r="J894" s="4">
        <v>0.97</v>
      </c>
      <c r="K894" s="4">
        <v>6.29</v>
      </c>
      <c r="L894" s="4">
        <v>1.2</v>
      </c>
      <c r="M894" s="4">
        <v>8</v>
      </c>
      <c r="N894" s="4">
        <v>913</v>
      </c>
      <c r="O894" s="4" t="str">
        <f t="shared" si="26"/>
        <v>EMI</v>
      </c>
      <c r="P894" s="5">
        <f t="shared" si="27"/>
        <v>55716.671999999999</v>
      </c>
    </row>
    <row r="895" spans="1:16" x14ac:dyDescent="0.25">
      <c r="A895" s="4">
        <v>2023</v>
      </c>
      <c r="B895" s="4">
        <v>5</v>
      </c>
      <c r="C895" s="12" t="s">
        <v>12</v>
      </c>
      <c r="D895" s="4" t="s">
        <v>13</v>
      </c>
      <c r="E895" s="4" t="s">
        <v>18</v>
      </c>
      <c r="F895" s="4" t="s">
        <v>18</v>
      </c>
      <c r="G895" s="5">
        <v>42382</v>
      </c>
      <c r="H895" s="5">
        <v>151121</v>
      </c>
      <c r="I895" s="4">
        <v>95</v>
      </c>
      <c r="J895" s="4">
        <v>0.97</v>
      </c>
      <c r="K895" s="4">
        <v>6.29</v>
      </c>
      <c r="L895" s="4">
        <v>1.2</v>
      </c>
      <c r="M895" s="4">
        <v>3</v>
      </c>
      <c r="N895" s="4">
        <v>465</v>
      </c>
      <c r="O895" s="4" t="str">
        <f t="shared" si="26"/>
        <v>EMI</v>
      </c>
      <c r="P895" s="5">
        <f t="shared" si="27"/>
        <v>42890.584000000003</v>
      </c>
    </row>
    <row r="896" spans="1:16" x14ac:dyDescent="0.25">
      <c r="A896" s="4">
        <v>2015</v>
      </c>
      <c r="B896" s="4">
        <v>5</v>
      </c>
      <c r="C896" s="12" t="s">
        <v>34</v>
      </c>
      <c r="D896" s="4" t="s">
        <v>22</v>
      </c>
      <c r="E896" s="4" t="s">
        <v>17</v>
      </c>
      <c r="F896" s="4" t="s">
        <v>15</v>
      </c>
      <c r="G896" s="5">
        <v>90739</v>
      </c>
      <c r="H896" s="5">
        <v>315976</v>
      </c>
      <c r="I896" s="4">
        <v>62</v>
      </c>
      <c r="J896" s="4">
        <v>0.97</v>
      </c>
      <c r="K896" s="4">
        <v>6.29</v>
      </c>
      <c r="L896" s="4">
        <v>1.2</v>
      </c>
      <c r="M896" s="4">
        <v>3</v>
      </c>
      <c r="N896" s="4">
        <v>527</v>
      </c>
      <c r="O896" s="4" t="str">
        <f t="shared" si="26"/>
        <v>EMI</v>
      </c>
      <c r="P896" s="5">
        <f t="shared" si="27"/>
        <v>91827.868000000002</v>
      </c>
    </row>
    <row r="897" spans="1:16" x14ac:dyDescent="0.25">
      <c r="A897" s="4">
        <v>2023</v>
      </c>
      <c r="B897" s="4">
        <v>1</v>
      </c>
      <c r="C897" s="12" t="s">
        <v>35</v>
      </c>
      <c r="D897" s="4" t="s">
        <v>32</v>
      </c>
      <c r="E897" s="4" t="s">
        <v>18</v>
      </c>
      <c r="F897" s="4" t="s">
        <v>18</v>
      </c>
      <c r="G897" s="5">
        <v>116685</v>
      </c>
      <c r="H897" s="5">
        <v>82332</v>
      </c>
      <c r="I897" s="4">
        <v>357</v>
      </c>
      <c r="J897" s="4">
        <v>0.97</v>
      </c>
      <c r="K897" s="4">
        <v>6.29</v>
      </c>
      <c r="L897" s="4">
        <v>1.2</v>
      </c>
      <c r="M897" s="4">
        <v>6</v>
      </c>
      <c r="N897" s="4">
        <v>900</v>
      </c>
      <c r="O897" s="4" t="str">
        <f t="shared" si="26"/>
        <v>EMI</v>
      </c>
      <c r="P897" s="5">
        <f t="shared" si="27"/>
        <v>118085.22</v>
      </c>
    </row>
    <row r="898" spans="1:16" x14ac:dyDescent="0.25">
      <c r="A898" s="4">
        <v>2022</v>
      </c>
      <c r="B898" s="4">
        <v>8</v>
      </c>
      <c r="C898" s="12" t="s">
        <v>28</v>
      </c>
      <c r="D898" s="4" t="s">
        <v>32</v>
      </c>
      <c r="E898" s="4" t="s">
        <v>17</v>
      </c>
      <c r="F898" s="4" t="s">
        <v>21</v>
      </c>
      <c r="G898" s="5">
        <v>83639</v>
      </c>
      <c r="H898" s="5">
        <v>62467</v>
      </c>
      <c r="I898" s="4">
        <v>364</v>
      </c>
      <c r="J898" s="4">
        <v>0.97</v>
      </c>
      <c r="K898" s="4">
        <v>6.29</v>
      </c>
      <c r="L898" s="4">
        <v>1.2</v>
      </c>
      <c r="M898" s="4">
        <v>1</v>
      </c>
      <c r="N898" s="4">
        <v>823</v>
      </c>
      <c r="O898" s="4" t="str">
        <f t="shared" ref="O898:O961" si="28">IF(M898&gt;2,"EMI",IF(H898&gt;300000,"Discount","Full"))</f>
        <v>Full</v>
      </c>
      <c r="P898" s="5">
        <f t="shared" ref="P898:P961" si="29">IF(O898="EMI", G898*(1+L898/100), IF(O898="Full", G898, G898*0.9))</f>
        <v>83639</v>
      </c>
    </row>
    <row r="899" spans="1:16" x14ac:dyDescent="0.25">
      <c r="A899" s="4">
        <v>2020</v>
      </c>
      <c r="B899" s="4">
        <v>12</v>
      </c>
      <c r="C899" s="12" t="s">
        <v>33</v>
      </c>
      <c r="D899" s="4" t="s">
        <v>24</v>
      </c>
      <c r="E899" s="4" t="s">
        <v>14</v>
      </c>
      <c r="F899" s="4" t="s">
        <v>25</v>
      </c>
      <c r="G899" s="5">
        <v>94838</v>
      </c>
      <c r="H899" s="5">
        <v>91025</v>
      </c>
      <c r="I899" s="4">
        <v>244</v>
      </c>
      <c r="J899" s="4">
        <v>0.97</v>
      </c>
      <c r="K899" s="4">
        <v>6.29</v>
      </c>
      <c r="L899" s="4">
        <v>1.2</v>
      </c>
      <c r="M899" s="4">
        <v>4</v>
      </c>
      <c r="N899" s="4">
        <v>560</v>
      </c>
      <c r="O899" s="4" t="str">
        <f t="shared" si="28"/>
        <v>EMI</v>
      </c>
      <c r="P899" s="5">
        <f t="shared" si="29"/>
        <v>95976.055999999997</v>
      </c>
    </row>
    <row r="900" spans="1:16" x14ac:dyDescent="0.25">
      <c r="A900" s="4">
        <v>2021</v>
      </c>
      <c r="B900" s="4">
        <v>8</v>
      </c>
      <c r="C900" s="12" t="s">
        <v>30</v>
      </c>
      <c r="D900" s="4" t="s">
        <v>29</v>
      </c>
      <c r="E900" s="4" t="s">
        <v>17</v>
      </c>
      <c r="F900" s="4" t="s">
        <v>21</v>
      </c>
      <c r="G900" s="5">
        <v>81041</v>
      </c>
      <c r="H900" s="5">
        <v>194179</v>
      </c>
      <c r="I900" s="4">
        <v>276</v>
      </c>
      <c r="J900" s="4">
        <v>0.97</v>
      </c>
      <c r="K900" s="4">
        <v>6.29</v>
      </c>
      <c r="L900" s="4">
        <v>1.2</v>
      </c>
      <c r="M900" s="4">
        <v>1</v>
      </c>
      <c r="N900" s="4">
        <v>636</v>
      </c>
      <c r="O900" s="4" t="str">
        <f t="shared" si="28"/>
        <v>Full</v>
      </c>
      <c r="P900" s="5">
        <f t="shared" si="29"/>
        <v>81041</v>
      </c>
    </row>
    <row r="901" spans="1:16" x14ac:dyDescent="0.25">
      <c r="A901" s="4">
        <v>2017</v>
      </c>
      <c r="B901" s="4">
        <v>4</v>
      </c>
      <c r="C901" s="12" t="s">
        <v>12</v>
      </c>
      <c r="D901" s="4" t="s">
        <v>29</v>
      </c>
      <c r="E901" s="4" t="s">
        <v>18</v>
      </c>
      <c r="F901" s="4" t="s">
        <v>21</v>
      </c>
      <c r="G901" s="5">
        <v>35992</v>
      </c>
      <c r="H901" s="5">
        <v>127994</v>
      </c>
      <c r="I901" s="4">
        <v>296</v>
      </c>
      <c r="J901" s="4">
        <v>0.97</v>
      </c>
      <c r="K901" s="4">
        <v>6.29</v>
      </c>
      <c r="L901" s="4">
        <v>1.2</v>
      </c>
      <c r="M901" s="4">
        <v>3</v>
      </c>
      <c r="N901" s="4">
        <v>907</v>
      </c>
      <c r="O901" s="4" t="str">
        <f t="shared" si="28"/>
        <v>EMI</v>
      </c>
      <c r="P901" s="5">
        <f t="shared" si="29"/>
        <v>36423.904000000002</v>
      </c>
    </row>
    <row r="902" spans="1:16" x14ac:dyDescent="0.25">
      <c r="A902" s="4">
        <v>2015</v>
      </c>
      <c r="B902" s="4">
        <v>7</v>
      </c>
      <c r="C902" s="12" t="s">
        <v>33</v>
      </c>
      <c r="D902" s="4" t="s">
        <v>22</v>
      </c>
      <c r="E902" s="4" t="s">
        <v>17</v>
      </c>
      <c r="F902" s="4" t="s">
        <v>25</v>
      </c>
      <c r="G902" s="5">
        <v>107394</v>
      </c>
      <c r="H902" s="5">
        <v>144202</v>
      </c>
      <c r="I902" s="4">
        <v>109</v>
      </c>
      <c r="J902" s="4">
        <v>0.97</v>
      </c>
      <c r="K902" s="4">
        <v>6.29</v>
      </c>
      <c r="L902" s="4">
        <v>1.2</v>
      </c>
      <c r="M902" s="4">
        <v>9</v>
      </c>
      <c r="N902" s="4">
        <v>224</v>
      </c>
      <c r="O902" s="4" t="str">
        <f t="shared" si="28"/>
        <v>EMI</v>
      </c>
      <c r="P902" s="5">
        <f t="shared" si="29"/>
        <v>108682.728</v>
      </c>
    </row>
    <row r="903" spans="1:16" x14ac:dyDescent="0.25">
      <c r="A903" s="4">
        <v>2019</v>
      </c>
      <c r="B903" s="4">
        <v>11</v>
      </c>
      <c r="C903" s="12" t="s">
        <v>19</v>
      </c>
      <c r="D903" s="4" t="s">
        <v>31</v>
      </c>
      <c r="E903" s="4" t="s">
        <v>18</v>
      </c>
      <c r="F903" s="4" t="s">
        <v>25</v>
      </c>
      <c r="G903" s="5">
        <v>102657</v>
      </c>
      <c r="H903" s="5">
        <v>93481</v>
      </c>
      <c r="I903" s="4">
        <v>96</v>
      </c>
      <c r="J903" s="4">
        <v>0.97</v>
      </c>
      <c r="K903" s="4">
        <v>6.29</v>
      </c>
      <c r="L903" s="4">
        <v>1.2</v>
      </c>
      <c r="M903" s="4">
        <v>5</v>
      </c>
      <c r="N903" s="4">
        <v>186</v>
      </c>
      <c r="O903" s="4" t="str">
        <f t="shared" si="28"/>
        <v>EMI</v>
      </c>
      <c r="P903" s="5">
        <f t="shared" si="29"/>
        <v>103888.88400000001</v>
      </c>
    </row>
    <row r="904" spans="1:16" x14ac:dyDescent="0.25">
      <c r="A904" s="4">
        <v>2016</v>
      </c>
      <c r="B904" s="4">
        <v>10</v>
      </c>
      <c r="C904" s="12" t="s">
        <v>30</v>
      </c>
      <c r="D904" s="4" t="s">
        <v>13</v>
      </c>
      <c r="E904" s="4" t="s">
        <v>14</v>
      </c>
      <c r="F904" s="4" t="s">
        <v>18</v>
      </c>
      <c r="G904" s="5">
        <v>62160</v>
      </c>
      <c r="H904" s="5">
        <v>445797</v>
      </c>
      <c r="I904" s="4">
        <v>24</v>
      </c>
      <c r="J904" s="4">
        <v>0.97</v>
      </c>
      <c r="K904" s="4">
        <v>6.29</v>
      </c>
      <c r="L904" s="4">
        <v>1.2</v>
      </c>
      <c r="M904" s="4">
        <v>5</v>
      </c>
      <c r="N904" s="4">
        <v>406</v>
      </c>
      <c r="O904" s="4" t="str">
        <f t="shared" si="28"/>
        <v>EMI</v>
      </c>
      <c r="P904" s="5">
        <f t="shared" si="29"/>
        <v>62905.919999999998</v>
      </c>
    </row>
    <row r="905" spans="1:16" x14ac:dyDescent="0.25">
      <c r="A905" s="4">
        <v>2019</v>
      </c>
      <c r="B905" s="4">
        <v>3</v>
      </c>
      <c r="C905" s="12" t="s">
        <v>28</v>
      </c>
      <c r="D905" s="4" t="s">
        <v>29</v>
      </c>
      <c r="E905" s="4" t="s">
        <v>17</v>
      </c>
      <c r="F905" s="4" t="s">
        <v>18</v>
      </c>
      <c r="G905" s="5">
        <v>80156</v>
      </c>
      <c r="H905" s="5">
        <v>125118</v>
      </c>
      <c r="I905" s="4">
        <v>110</v>
      </c>
      <c r="J905" s="4">
        <v>0.97</v>
      </c>
      <c r="K905" s="4">
        <v>6.29</v>
      </c>
      <c r="L905" s="4">
        <v>1.2</v>
      </c>
      <c r="M905" s="4">
        <v>4</v>
      </c>
      <c r="N905" s="4">
        <v>455</v>
      </c>
      <c r="O905" s="4" t="str">
        <f t="shared" si="28"/>
        <v>EMI</v>
      </c>
      <c r="P905" s="5">
        <f t="shared" si="29"/>
        <v>81117.872000000003</v>
      </c>
    </row>
    <row r="906" spans="1:16" x14ac:dyDescent="0.25">
      <c r="A906" s="4">
        <v>2022</v>
      </c>
      <c r="B906" s="4">
        <v>6</v>
      </c>
      <c r="C906" s="12" t="s">
        <v>26</v>
      </c>
      <c r="D906" s="4" t="s">
        <v>22</v>
      </c>
      <c r="E906" s="4" t="s">
        <v>14</v>
      </c>
      <c r="F906" s="4" t="s">
        <v>15</v>
      </c>
      <c r="G906" s="5">
        <v>86375</v>
      </c>
      <c r="H906" s="5">
        <v>436154</v>
      </c>
      <c r="I906" s="4">
        <v>174</v>
      </c>
      <c r="J906" s="4">
        <v>0.97</v>
      </c>
      <c r="K906" s="4">
        <v>6.29</v>
      </c>
      <c r="L906" s="4">
        <v>1.2</v>
      </c>
      <c r="M906" s="4">
        <v>3</v>
      </c>
      <c r="N906" s="4">
        <v>711</v>
      </c>
      <c r="O906" s="4" t="str">
        <f t="shared" si="28"/>
        <v>EMI</v>
      </c>
      <c r="P906" s="5">
        <f t="shared" si="29"/>
        <v>87411.5</v>
      </c>
    </row>
    <row r="907" spans="1:16" x14ac:dyDescent="0.25">
      <c r="A907" s="4">
        <v>2023</v>
      </c>
      <c r="B907" s="4">
        <v>10</v>
      </c>
      <c r="C907" s="12" t="s">
        <v>34</v>
      </c>
      <c r="D907" s="4" t="s">
        <v>16</v>
      </c>
      <c r="E907" s="4" t="s">
        <v>18</v>
      </c>
      <c r="F907" s="4" t="s">
        <v>15</v>
      </c>
      <c r="G907" s="5">
        <v>54572</v>
      </c>
      <c r="H907" s="5">
        <v>494854</v>
      </c>
      <c r="I907" s="4">
        <v>38</v>
      </c>
      <c r="J907" s="4">
        <v>0.97</v>
      </c>
      <c r="K907" s="4">
        <v>6.29</v>
      </c>
      <c r="L907" s="4">
        <v>1.2</v>
      </c>
      <c r="M907" s="4">
        <v>5</v>
      </c>
      <c r="N907" s="4">
        <v>253</v>
      </c>
      <c r="O907" s="4" t="str">
        <f t="shared" si="28"/>
        <v>EMI</v>
      </c>
      <c r="P907" s="5">
        <f t="shared" si="29"/>
        <v>55226.864000000001</v>
      </c>
    </row>
    <row r="908" spans="1:16" x14ac:dyDescent="0.25">
      <c r="A908" s="4">
        <v>2016</v>
      </c>
      <c r="B908" s="4">
        <v>10</v>
      </c>
      <c r="C908" s="12" t="s">
        <v>23</v>
      </c>
      <c r="D908" s="4" t="s">
        <v>20</v>
      </c>
      <c r="E908" s="4" t="s">
        <v>18</v>
      </c>
      <c r="F908" s="4" t="s">
        <v>21</v>
      </c>
      <c r="G908" s="5">
        <v>39136</v>
      </c>
      <c r="H908" s="5">
        <v>173714</v>
      </c>
      <c r="I908" s="4">
        <v>123</v>
      </c>
      <c r="J908" s="4">
        <v>0.97</v>
      </c>
      <c r="K908" s="4">
        <v>6.29</v>
      </c>
      <c r="L908" s="4">
        <v>1.2</v>
      </c>
      <c r="M908" s="4">
        <v>4</v>
      </c>
      <c r="N908" s="4">
        <v>387</v>
      </c>
      <c r="O908" s="4" t="str">
        <f t="shared" si="28"/>
        <v>EMI</v>
      </c>
      <c r="P908" s="5">
        <f t="shared" si="29"/>
        <v>39605.631999999998</v>
      </c>
    </row>
    <row r="909" spans="1:16" x14ac:dyDescent="0.25">
      <c r="A909" s="4">
        <v>2017</v>
      </c>
      <c r="B909" s="4">
        <v>12</v>
      </c>
      <c r="C909" s="12" t="s">
        <v>28</v>
      </c>
      <c r="D909" s="4" t="s">
        <v>16</v>
      </c>
      <c r="E909" s="4" t="s">
        <v>14</v>
      </c>
      <c r="F909" s="4" t="s">
        <v>25</v>
      </c>
      <c r="G909" s="5">
        <v>96868</v>
      </c>
      <c r="H909" s="5">
        <v>451634</v>
      </c>
      <c r="I909" s="4">
        <v>116</v>
      </c>
      <c r="J909" s="4">
        <v>0.97</v>
      </c>
      <c r="K909" s="4">
        <v>6.29</v>
      </c>
      <c r="L909" s="4">
        <v>1.2</v>
      </c>
      <c r="M909" s="4">
        <v>8</v>
      </c>
      <c r="N909" s="4">
        <v>455</v>
      </c>
      <c r="O909" s="4" t="str">
        <f t="shared" si="28"/>
        <v>EMI</v>
      </c>
      <c r="P909" s="5">
        <f t="shared" si="29"/>
        <v>98030.415999999997</v>
      </c>
    </row>
    <row r="910" spans="1:16" x14ac:dyDescent="0.25">
      <c r="A910" s="4">
        <v>2017</v>
      </c>
      <c r="B910" s="4">
        <v>9</v>
      </c>
      <c r="C910" s="12" t="s">
        <v>34</v>
      </c>
      <c r="D910" s="4" t="s">
        <v>27</v>
      </c>
      <c r="E910" s="4" t="s">
        <v>17</v>
      </c>
      <c r="F910" s="4" t="s">
        <v>15</v>
      </c>
      <c r="G910" s="5">
        <v>117263</v>
      </c>
      <c r="H910" s="5">
        <v>274699</v>
      </c>
      <c r="I910" s="4">
        <v>373</v>
      </c>
      <c r="J910" s="4">
        <v>0.97</v>
      </c>
      <c r="K910" s="4">
        <v>6.29</v>
      </c>
      <c r="L910" s="4">
        <v>1.2</v>
      </c>
      <c r="M910" s="4">
        <v>4</v>
      </c>
      <c r="N910" s="4">
        <v>880</v>
      </c>
      <c r="O910" s="4" t="str">
        <f t="shared" si="28"/>
        <v>EMI</v>
      </c>
      <c r="P910" s="5">
        <f t="shared" si="29"/>
        <v>118670.156</v>
      </c>
    </row>
    <row r="911" spans="1:16" x14ac:dyDescent="0.25">
      <c r="A911" s="4">
        <v>2015</v>
      </c>
      <c r="B911" s="4">
        <v>1</v>
      </c>
      <c r="C911" s="12" t="s">
        <v>33</v>
      </c>
      <c r="D911" s="4" t="s">
        <v>24</v>
      </c>
      <c r="E911" s="4" t="s">
        <v>17</v>
      </c>
      <c r="F911" s="4" t="s">
        <v>21</v>
      </c>
      <c r="G911" s="5">
        <v>67167</v>
      </c>
      <c r="H911" s="5">
        <v>210185</v>
      </c>
      <c r="I911" s="4">
        <v>139</v>
      </c>
      <c r="J911" s="4">
        <v>0.97</v>
      </c>
      <c r="K911" s="4">
        <v>6.29</v>
      </c>
      <c r="L911" s="4">
        <v>1.2</v>
      </c>
      <c r="M911" s="4">
        <v>8</v>
      </c>
      <c r="N911" s="4">
        <v>380</v>
      </c>
      <c r="O911" s="4" t="str">
        <f t="shared" si="28"/>
        <v>EMI</v>
      </c>
      <c r="P911" s="5">
        <f t="shared" si="29"/>
        <v>67973.004000000001</v>
      </c>
    </row>
    <row r="912" spans="1:16" x14ac:dyDescent="0.25">
      <c r="A912" s="4">
        <v>2022</v>
      </c>
      <c r="B912" s="4">
        <v>5</v>
      </c>
      <c r="C912" s="12" t="s">
        <v>23</v>
      </c>
      <c r="D912" s="4" t="s">
        <v>29</v>
      </c>
      <c r="E912" s="4" t="s">
        <v>18</v>
      </c>
      <c r="F912" s="4" t="s">
        <v>25</v>
      </c>
      <c r="G912" s="5">
        <v>50479</v>
      </c>
      <c r="H912" s="5">
        <v>134363</v>
      </c>
      <c r="I912" s="4">
        <v>93</v>
      </c>
      <c r="J912" s="4">
        <v>0.97</v>
      </c>
      <c r="K912" s="4">
        <v>6.29</v>
      </c>
      <c r="L912" s="4">
        <v>1.2</v>
      </c>
      <c r="M912" s="4">
        <v>6</v>
      </c>
      <c r="N912" s="4">
        <v>372</v>
      </c>
      <c r="O912" s="4" t="str">
        <f t="shared" si="28"/>
        <v>EMI</v>
      </c>
      <c r="P912" s="5">
        <f t="shared" si="29"/>
        <v>51084.748</v>
      </c>
    </row>
    <row r="913" spans="1:16" x14ac:dyDescent="0.25">
      <c r="A913" s="4">
        <v>2020</v>
      </c>
      <c r="B913" s="4">
        <v>4</v>
      </c>
      <c r="C913" s="12" t="s">
        <v>36</v>
      </c>
      <c r="D913" s="4" t="s">
        <v>27</v>
      </c>
      <c r="E913" s="4" t="s">
        <v>14</v>
      </c>
      <c r="F913" s="4" t="s">
        <v>18</v>
      </c>
      <c r="G913" s="5">
        <v>66376</v>
      </c>
      <c r="H913" s="5">
        <v>435751</v>
      </c>
      <c r="I913" s="4">
        <v>280</v>
      </c>
      <c r="J913" s="4">
        <v>0.97</v>
      </c>
      <c r="K913" s="4">
        <v>6.29</v>
      </c>
      <c r="L913" s="4">
        <v>1.2</v>
      </c>
      <c r="M913" s="4">
        <v>5</v>
      </c>
      <c r="N913" s="4">
        <v>610</v>
      </c>
      <c r="O913" s="4" t="str">
        <f t="shared" si="28"/>
        <v>EMI</v>
      </c>
      <c r="P913" s="5">
        <f t="shared" si="29"/>
        <v>67172.512000000002</v>
      </c>
    </row>
    <row r="914" spans="1:16" x14ac:dyDescent="0.25">
      <c r="A914" s="4">
        <v>2022</v>
      </c>
      <c r="B914" s="4">
        <v>8</v>
      </c>
      <c r="C914" s="12" t="s">
        <v>35</v>
      </c>
      <c r="D914" s="4" t="s">
        <v>37</v>
      </c>
      <c r="E914" s="4" t="s">
        <v>14</v>
      </c>
      <c r="F914" s="4" t="s">
        <v>21</v>
      </c>
      <c r="G914" s="5">
        <v>39823</v>
      </c>
      <c r="H914" s="5">
        <v>375188</v>
      </c>
      <c r="I914" s="4">
        <v>253</v>
      </c>
      <c r="J914" s="4">
        <v>0.97</v>
      </c>
      <c r="K914" s="4">
        <v>6.29</v>
      </c>
      <c r="L914" s="4">
        <v>1.2</v>
      </c>
      <c r="M914" s="4">
        <v>4</v>
      </c>
      <c r="N914" s="4">
        <v>794</v>
      </c>
      <c r="O914" s="4" t="str">
        <f t="shared" si="28"/>
        <v>EMI</v>
      </c>
      <c r="P914" s="5">
        <f t="shared" si="29"/>
        <v>40300.876000000004</v>
      </c>
    </row>
    <row r="915" spans="1:16" x14ac:dyDescent="0.25">
      <c r="A915" s="4">
        <v>2023</v>
      </c>
      <c r="B915" s="4">
        <v>11</v>
      </c>
      <c r="C915" s="12" t="s">
        <v>19</v>
      </c>
      <c r="D915" s="4" t="s">
        <v>27</v>
      </c>
      <c r="E915" s="4" t="s">
        <v>17</v>
      </c>
      <c r="F915" s="4" t="s">
        <v>18</v>
      </c>
      <c r="G915" s="5">
        <v>105456</v>
      </c>
      <c r="H915" s="5">
        <v>261027</v>
      </c>
      <c r="I915" s="4">
        <v>397</v>
      </c>
      <c r="J915" s="4">
        <v>0.97</v>
      </c>
      <c r="K915" s="4">
        <v>6.29</v>
      </c>
      <c r="L915" s="4">
        <v>1.2</v>
      </c>
      <c r="M915" s="4">
        <v>4</v>
      </c>
      <c r="N915" s="4">
        <v>1130</v>
      </c>
      <c r="O915" s="4" t="str">
        <f t="shared" si="28"/>
        <v>EMI</v>
      </c>
      <c r="P915" s="5">
        <f t="shared" si="29"/>
        <v>106721.47199999999</v>
      </c>
    </row>
    <row r="916" spans="1:16" x14ac:dyDescent="0.25">
      <c r="A916" s="4">
        <v>2019</v>
      </c>
      <c r="B916" s="4">
        <v>12</v>
      </c>
      <c r="C916" s="12" t="s">
        <v>30</v>
      </c>
      <c r="D916" s="4" t="s">
        <v>22</v>
      </c>
      <c r="E916" s="4" t="s">
        <v>17</v>
      </c>
      <c r="F916" s="4" t="s">
        <v>15</v>
      </c>
      <c r="G916" s="5">
        <v>54585</v>
      </c>
      <c r="H916" s="5">
        <v>323958</v>
      </c>
      <c r="I916" s="4">
        <v>223</v>
      </c>
      <c r="J916" s="4">
        <v>0.97</v>
      </c>
      <c r="K916" s="4">
        <v>6.29</v>
      </c>
      <c r="L916" s="4">
        <v>1.2</v>
      </c>
      <c r="M916" s="4">
        <v>4</v>
      </c>
      <c r="N916" s="4">
        <v>861</v>
      </c>
      <c r="O916" s="4" t="str">
        <f t="shared" si="28"/>
        <v>EMI</v>
      </c>
      <c r="P916" s="5">
        <f t="shared" si="29"/>
        <v>55240.020000000004</v>
      </c>
    </row>
    <row r="917" spans="1:16" x14ac:dyDescent="0.25">
      <c r="A917" s="4">
        <v>2017</v>
      </c>
      <c r="B917" s="4">
        <v>1</v>
      </c>
      <c r="C917" s="12" t="s">
        <v>28</v>
      </c>
      <c r="D917" s="4" t="s">
        <v>29</v>
      </c>
      <c r="E917" s="4" t="s">
        <v>17</v>
      </c>
      <c r="F917" s="4" t="s">
        <v>15</v>
      </c>
      <c r="G917" s="5">
        <v>52272</v>
      </c>
      <c r="H917" s="5">
        <v>411484</v>
      </c>
      <c r="I917" s="4">
        <v>315</v>
      </c>
      <c r="J917" s="4">
        <v>0.97</v>
      </c>
      <c r="K917" s="4">
        <v>6.29</v>
      </c>
      <c r="L917" s="4">
        <v>1.2</v>
      </c>
      <c r="M917" s="4">
        <v>9</v>
      </c>
      <c r="N917" s="4">
        <v>1036</v>
      </c>
      <c r="O917" s="4" t="str">
        <f t="shared" si="28"/>
        <v>EMI</v>
      </c>
      <c r="P917" s="5">
        <f t="shared" si="29"/>
        <v>52899.264000000003</v>
      </c>
    </row>
    <row r="918" spans="1:16" x14ac:dyDescent="0.25">
      <c r="A918" s="4">
        <v>2019</v>
      </c>
      <c r="B918" s="4">
        <v>9</v>
      </c>
      <c r="C918" s="12" t="s">
        <v>19</v>
      </c>
      <c r="D918" s="4" t="s">
        <v>20</v>
      </c>
      <c r="E918" s="4" t="s">
        <v>14</v>
      </c>
      <c r="F918" s="4" t="s">
        <v>25</v>
      </c>
      <c r="G918" s="5">
        <v>61619</v>
      </c>
      <c r="H918" s="5">
        <v>322168</v>
      </c>
      <c r="I918" s="4">
        <v>175</v>
      </c>
      <c r="J918" s="4">
        <v>0.97</v>
      </c>
      <c r="K918" s="4">
        <v>6.29</v>
      </c>
      <c r="L918" s="4">
        <v>1.2</v>
      </c>
      <c r="M918" s="4">
        <v>4</v>
      </c>
      <c r="N918" s="4">
        <v>606</v>
      </c>
      <c r="O918" s="4" t="str">
        <f t="shared" si="28"/>
        <v>EMI</v>
      </c>
      <c r="P918" s="5">
        <f t="shared" si="29"/>
        <v>62358.428</v>
      </c>
    </row>
    <row r="919" spans="1:16" x14ac:dyDescent="0.25">
      <c r="A919" s="4">
        <v>2019</v>
      </c>
      <c r="B919" s="4">
        <v>6</v>
      </c>
      <c r="C919" s="12" t="s">
        <v>26</v>
      </c>
      <c r="D919" s="4" t="s">
        <v>22</v>
      </c>
      <c r="E919" s="4" t="s">
        <v>17</v>
      </c>
      <c r="F919" s="4" t="s">
        <v>21</v>
      </c>
      <c r="G919" s="5">
        <v>110069</v>
      </c>
      <c r="H919" s="5">
        <v>244360</v>
      </c>
      <c r="I919" s="4">
        <v>288</v>
      </c>
      <c r="J919" s="4">
        <v>0.97</v>
      </c>
      <c r="K919" s="4">
        <v>6.29</v>
      </c>
      <c r="L919" s="4">
        <v>1.2</v>
      </c>
      <c r="M919" s="4">
        <v>9</v>
      </c>
      <c r="N919" s="4">
        <v>791</v>
      </c>
      <c r="O919" s="4" t="str">
        <f t="shared" si="28"/>
        <v>EMI</v>
      </c>
      <c r="P919" s="5">
        <f t="shared" si="29"/>
        <v>111389.82799999999</v>
      </c>
    </row>
    <row r="920" spans="1:16" x14ac:dyDescent="0.25">
      <c r="A920" s="4">
        <v>2019</v>
      </c>
      <c r="B920" s="4">
        <v>4</v>
      </c>
      <c r="C920" s="12" t="s">
        <v>34</v>
      </c>
      <c r="D920" s="4" t="s">
        <v>22</v>
      </c>
      <c r="E920" s="4" t="s">
        <v>17</v>
      </c>
      <c r="F920" s="4" t="s">
        <v>18</v>
      </c>
      <c r="G920" s="5">
        <v>74895</v>
      </c>
      <c r="H920" s="5">
        <v>421380</v>
      </c>
      <c r="I920" s="4">
        <v>68</v>
      </c>
      <c r="J920" s="4">
        <v>0.97</v>
      </c>
      <c r="K920" s="4">
        <v>6.29</v>
      </c>
      <c r="L920" s="4">
        <v>1.2</v>
      </c>
      <c r="M920" s="4">
        <v>10</v>
      </c>
      <c r="N920" s="4">
        <v>547</v>
      </c>
      <c r="O920" s="4" t="str">
        <f t="shared" si="28"/>
        <v>EMI</v>
      </c>
      <c r="P920" s="5">
        <f t="shared" si="29"/>
        <v>75793.740000000005</v>
      </c>
    </row>
    <row r="921" spans="1:16" x14ac:dyDescent="0.25">
      <c r="A921" s="4">
        <v>2017</v>
      </c>
      <c r="B921" s="4">
        <v>12</v>
      </c>
      <c r="C921" s="12" t="s">
        <v>34</v>
      </c>
      <c r="D921" s="4" t="s">
        <v>24</v>
      </c>
      <c r="E921" s="4" t="s">
        <v>18</v>
      </c>
      <c r="F921" s="4" t="s">
        <v>25</v>
      </c>
      <c r="G921" s="5">
        <v>38720</v>
      </c>
      <c r="H921" s="5">
        <v>107836</v>
      </c>
      <c r="I921" s="4">
        <v>99</v>
      </c>
      <c r="J921" s="4">
        <v>0.97</v>
      </c>
      <c r="K921" s="4">
        <v>6.29</v>
      </c>
      <c r="L921" s="4">
        <v>1.2</v>
      </c>
      <c r="M921" s="4">
        <v>6</v>
      </c>
      <c r="N921" s="4">
        <v>349</v>
      </c>
      <c r="O921" s="4" t="str">
        <f t="shared" si="28"/>
        <v>EMI</v>
      </c>
      <c r="P921" s="5">
        <f t="shared" si="29"/>
        <v>39184.639999999999</v>
      </c>
    </row>
    <row r="922" spans="1:16" x14ac:dyDescent="0.25">
      <c r="A922" s="4">
        <v>2024</v>
      </c>
      <c r="B922" s="4">
        <v>9</v>
      </c>
      <c r="C922" s="12" t="s">
        <v>28</v>
      </c>
      <c r="D922" s="4" t="s">
        <v>24</v>
      </c>
      <c r="E922" s="4" t="s">
        <v>17</v>
      </c>
      <c r="F922" s="4" t="s">
        <v>15</v>
      </c>
      <c r="G922" s="5">
        <v>54267</v>
      </c>
      <c r="H922" s="5">
        <v>319579</v>
      </c>
      <c r="I922" s="4">
        <v>380</v>
      </c>
      <c r="J922" s="4">
        <v>0.97</v>
      </c>
      <c r="K922" s="4">
        <v>6.29</v>
      </c>
      <c r="L922" s="4">
        <v>1.2</v>
      </c>
      <c r="M922" s="4">
        <v>10</v>
      </c>
      <c r="N922" s="4">
        <v>1149</v>
      </c>
      <c r="O922" s="4" t="str">
        <f t="shared" si="28"/>
        <v>EMI</v>
      </c>
      <c r="P922" s="5">
        <f t="shared" si="29"/>
        <v>54918.203999999998</v>
      </c>
    </row>
    <row r="923" spans="1:16" x14ac:dyDescent="0.25">
      <c r="A923" s="4">
        <v>2018</v>
      </c>
      <c r="B923" s="4">
        <v>11</v>
      </c>
      <c r="C923" s="12" t="s">
        <v>12</v>
      </c>
      <c r="D923" s="4" t="s">
        <v>13</v>
      </c>
      <c r="E923" s="4" t="s">
        <v>17</v>
      </c>
      <c r="F923" s="4" t="s">
        <v>15</v>
      </c>
      <c r="G923" s="5">
        <v>50696</v>
      </c>
      <c r="H923" s="5">
        <v>305095</v>
      </c>
      <c r="I923" s="4">
        <v>340</v>
      </c>
      <c r="J923" s="4">
        <v>0.97</v>
      </c>
      <c r="K923" s="4">
        <v>6.29</v>
      </c>
      <c r="L923" s="4">
        <v>1.2</v>
      </c>
      <c r="M923" s="4">
        <v>7</v>
      </c>
      <c r="N923" s="4">
        <v>898</v>
      </c>
      <c r="O923" s="4" t="str">
        <f t="shared" si="28"/>
        <v>EMI</v>
      </c>
      <c r="P923" s="5">
        <f t="shared" si="29"/>
        <v>51304.351999999999</v>
      </c>
    </row>
    <row r="924" spans="1:16" x14ac:dyDescent="0.25">
      <c r="A924" s="4">
        <v>2023</v>
      </c>
      <c r="B924" s="4">
        <v>5</v>
      </c>
      <c r="C924" s="12" t="s">
        <v>12</v>
      </c>
      <c r="D924" s="4" t="s">
        <v>13</v>
      </c>
      <c r="E924" s="4" t="s">
        <v>14</v>
      </c>
      <c r="F924" s="4" t="s">
        <v>21</v>
      </c>
      <c r="G924" s="5">
        <v>64968</v>
      </c>
      <c r="H924" s="5">
        <v>382745</v>
      </c>
      <c r="I924" s="4">
        <v>203</v>
      </c>
      <c r="J924" s="4">
        <v>0.97</v>
      </c>
      <c r="K924" s="4">
        <v>6.29</v>
      </c>
      <c r="L924" s="4">
        <v>1.2</v>
      </c>
      <c r="M924" s="4">
        <v>10</v>
      </c>
      <c r="N924" s="4">
        <v>522</v>
      </c>
      <c r="O924" s="4" t="str">
        <f t="shared" si="28"/>
        <v>EMI</v>
      </c>
      <c r="P924" s="5">
        <f t="shared" si="29"/>
        <v>65747.615999999995</v>
      </c>
    </row>
    <row r="925" spans="1:16" x14ac:dyDescent="0.25">
      <c r="A925" s="4">
        <v>2024</v>
      </c>
      <c r="B925" s="4">
        <v>5</v>
      </c>
      <c r="C925" s="12" t="s">
        <v>36</v>
      </c>
      <c r="D925" s="4" t="s">
        <v>32</v>
      </c>
      <c r="E925" s="4" t="s">
        <v>14</v>
      </c>
      <c r="F925" s="4" t="s">
        <v>18</v>
      </c>
      <c r="G925" s="5">
        <v>88364</v>
      </c>
      <c r="H925" s="5">
        <v>311176</v>
      </c>
      <c r="I925" s="4">
        <v>132</v>
      </c>
      <c r="J925" s="4">
        <v>0.97</v>
      </c>
      <c r="K925" s="4">
        <v>6.29</v>
      </c>
      <c r="L925" s="4">
        <v>1.2</v>
      </c>
      <c r="M925" s="4">
        <v>3</v>
      </c>
      <c r="N925" s="4">
        <v>411</v>
      </c>
      <c r="O925" s="4" t="str">
        <f t="shared" si="28"/>
        <v>EMI</v>
      </c>
      <c r="P925" s="5">
        <f t="shared" si="29"/>
        <v>89424.368000000002</v>
      </c>
    </row>
    <row r="926" spans="1:16" x14ac:dyDescent="0.25">
      <c r="A926" s="4">
        <v>2023</v>
      </c>
      <c r="B926" s="4">
        <v>12</v>
      </c>
      <c r="C926" s="12" t="s">
        <v>35</v>
      </c>
      <c r="D926" s="4" t="s">
        <v>31</v>
      </c>
      <c r="E926" s="4" t="s">
        <v>18</v>
      </c>
      <c r="F926" s="4" t="s">
        <v>21</v>
      </c>
      <c r="G926" s="5">
        <v>58345</v>
      </c>
      <c r="H926" s="5">
        <v>433015</v>
      </c>
      <c r="I926" s="4">
        <v>145</v>
      </c>
      <c r="J926" s="4">
        <v>0.97</v>
      </c>
      <c r="K926" s="4">
        <v>6.29</v>
      </c>
      <c r="L926" s="4">
        <v>1.2</v>
      </c>
      <c r="M926" s="4">
        <v>8</v>
      </c>
      <c r="N926" s="4">
        <v>334</v>
      </c>
      <c r="O926" s="4" t="str">
        <f t="shared" si="28"/>
        <v>EMI</v>
      </c>
      <c r="P926" s="5">
        <f t="shared" si="29"/>
        <v>59045.14</v>
      </c>
    </row>
    <row r="927" spans="1:16" x14ac:dyDescent="0.25">
      <c r="A927" s="4">
        <v>2016</v>
      </c>
      <c r="B927" s="4">
        <v>5</v>
      </c>
      <c r="C927" s="12" t="s">
        <v>23</v>
      </c>
      <c r="D927" s="4" t="s">
        <v>29</v>
      </c>
      <c r="E927" s="4" t="s">
        <v>17</v>
      </c>
      <c r="F927" s="4" t="s">
        <v>18</v>
      </c>
      <c r="G927" s="5">
        <v>86567</v>
      </c>
      <c r="H927" s="5">
        <v>299717</v>
      </c>
      <c r="I927" s="4">
        <v>148</v>
      </c>
      <c r="J927" s="4">
        <v>0.97</v>
      </c>
      <c r="K927" s="4">
        <v>6.29</v>
      </c>
      <c r="L927" s="4">
        <v>1.2</v>
      </c>
      <c r="M927" s="4">
        <v>3</v>
      </c>
      <c r="N927" s="4">
        <v>463</v>
      </c>
      <c r="O927" s="4" t="str">
        <f t="shared" si="28"/>
        <v>EMI</v>
      </c>
      <c r="P927" s="5">
        <f t="shared" si="29"/>
        <v>87605.804000000004</v>
      </c>
    </row>
    <row r="928" spans="1:16" x14ac:dyDescent="0.25">
      <c r="A928" s="4">
        <v>2022</v>
      </c>
      <c r="B928" s="4">
        <v>1</v>
      </c>
      <c r="C928" s="12" t="s">
        <v>26</v>
      </c>
      <c r="D928" s="4" t="s">
        <v>29</v>
      </c>
      <c r="E928" s="4" t="s">
        <v>18</v>
      </c>
      <c r="F928" s="4" t="s">
        <v>18</v>
      </c>
      <c r="G928" s="5">
        <v>96607</v>
      </c>
      <c r="H928" s="5">
        <v>184479</v>
      </c>
      <c r="I928" s="4">
        <v>238</v>
      </c>
      <c r="J928" s="4">
        <v>0.97</v>
      </c>
      <c r="K928" s="4">
        <v>6.29</v>
      </c>
      <c r="L928" s="4">
        <v>1.2</v>
      </c>
      <c r="M928" s="4">
        <v>1</v>
      </c>
      <c r="N928" s="4">
        <v>579</v>
      </c>
      <c r="O928" s="4" t="str">
        <f t="shared" si="28"/>
        <v>Full</v>
      </c>
      <c r="P928" s="5">
        <f t="shared" si="29"/>
        <v>96607</v>
      </c>
    </row>
    <row r="929" spans="1:16" x14ac:dyDescent="0.25">
      <c r="A929" s="4">
        <v>2022</v>
      </c>
      <c r="B929" s="4">
        <v>1</v>
      </c>
      <c r="C929" s="12" t="s">
        <v>19</v>
      </c>
      <c r="D929" s="4" t="s">
        <v>27</v>
      </c>
      <c r="E929" s="4" t="s">
        <v>14</v>
      </c>
      <c r="F929" s="4" t="s">
        <v>21</v>
      </c>
      <c r="G929" s="5">
        <v>54385</v>
      </c>
      <c r="H929" s="5">
        <v>411087</v>
      </c>
      <c r="I929" s="4">
        <v>283</v>
      </c>
      <c r="J929" s="4">
        <v>0.97</v>
      </c>
      <c r="K929" s="4">
        <v>6.29</v>
      </c>
      <c r="L929" s="4">
        <v>1.2</v>
      </c>
      <c r="M929" s="4">
        <v>10</v>
      </c>
      <c r="N929" s="4">
        <v>881</v>
      </c>
      <c r="O929" s="4" t="str">
        <f t="shared" si="28"/>
        <v>EMI</v>
      </c>
      <c r="P929" s="5">
        <f t="shared" si="29"/>
        <v>55037.62</v>
      </c>
    </row>
    <row r="930" spans="1:16" x14ac:dyDescent="0.25">
      <c r="A930" s="4">
        <v>2021</v>
      </c>
      <c r="B930" s="4">
        <v>8</v>
      </c>
      <c r="C930" s="12" t="s">
        <v>12</v>
      </c>
      <c r="D930" s="4" t="s">
        <v>29</v>
      </c>
      <c r="E930" s="4" t="s">
        <v>18</v>
      </c>
      <c r="F930" s="4" t="s">
        <v>25</v>
      </c>
      <c r="G930" s="5">
        <v>118658</v>
      </c>
      <c r="H930" s="5">
        <v>82940</v>
      </c>
      <c r="I930" s="4">
        <v>59</v>
      </c>
      <c r="J930" s="4">
        <v>0.97</v>
      </c>
      <c r="K930" s="4">
        <v>6.29</v>
      </c>
      <c r="L930" s="4">
        <v>1.2</v>
      </c>
      <c r="M930" s="4">
        <v>5</v>
      </c>
      <c r="N930" s="4">
        <v>496</v>
      </c>
      <c r="O930" s="4" t="str">
        <f t="shared" si="28"/>
        <v>EMI</v>
      </c>
      <c r="P930" s="5">
        <f t="shared" si="29"/>
        <v>120081.89600000001</v>
      </c>
    </row>
    <row r="931" spans="1:16" x14ac:dyDescent="0.25">
      <c r="A931" s="4">
        <v>2022</v>
      </c>
      <c r="B931" s="4">
        <v>12</v>
      </c>
      <c r="C931" s="12" t="s">
        <v>36</v>
      </c>
      <c r="D931" s="4" t="s">
        <v>29</v>
      </c>
      <c r="E931" s="4" t="s">
        <v>14</v>
      </c>
      <c r="F931" s="4" t="s">
        <v>21</v>
      </c>
      <c r="G931" s="5">
        <v>101900</v>
      </c>
      <c r="H931" s="5">
        <v>55666</v>
      </c>
      <c r="I931" s="4">
        <v>127</v>
      </c>
      <c r="J931" s="4">
        <v>0.97</v>
      </c>
      <c r="K931" s="4">
        <v>6.29</v>
      </c>
      <c r="L931" s="4">
        <v>1.2</v>
      </c>
      <c r="M931" s="4">
        <v>2</v>
      </c>
      <c r="N931" s="4">
        <v>450</v>
      </c>
      <c r="O931" s="4" t="str">
        <f t="shared" si="28"/>
        <v>Full</v>
      </c>
      <c r="P931" s="5">
        <f t="shared" si="29"/>
        <v>101900</v>
      </c>
    </row>
    <row r="932" spans="1:16" x14ac:dyDescent="0.25">
      <c r="A932" s="4">
        <v>2017</v>
      </c>
      <c r="B932" s="4">
        <v>8</v>
      </c>
      <c r="C932" s="12" t="s">
        <v>36</v>
      </c>
      <c r="D932" s="4" t="s">
        <v>31</v>
      </c>
      <c r="E932" s="4" t="s">
        <v>18</v>
      </c>
      <c r="F932" s="4" t="s">
        <v>21</v>
      </c>
      <c r="G932" s="5">
        <v>103244</v>
      </c>
      <c r="H932" s="5">
        <v>349266</v>
      </c>
      <c r="I932" s="4">
        <v>211</v>
      </c>
      <c r="J932" s="4">
        <v>0.97</v>
      </c>
      <c r="K932" s="4">
        <v>6.29</v>
      </c>
      <c r="L932" s="4">
        <v>1.2</v>
      </c>
      <c r="M932" s="4">
        <v>10</v>
      </c>
      <c r="N932" s="4">
        <v>821</v>
      </c>
      <c r="O932" s="4" t="str">
        <f t="shared" si="28"/>
        <v>EMI</v>
      </c>
      <c r="P932" s="5">
        <f t="shared" si="29"/>
        <v>104482.928</v>
      </c>
    </row>
    <row r="933" spans="1:16" x14ac:dyDescent="0.25">
      <c r="A933" s="4">
        <v>2020</v>
      </c>
      <c r="B933" s="4">
        <v>12</v>
      </c>
      <c r="C933" s="12" t="s">
        <v>28</v>
      </c>
      <c r="D933" s="4" t="s">
        <v>37</v>
      </c>
      <c r="E933" s="4" t="s">
        <v>18</v>
      </c>
      <c r="F933" s="4" t="s">
        <v>15</v>
      </c>
      <c r="G933" s="5">
        <v>100425</v>
      </c>
      <c r="H933" s="5">
        <v>430791</v>
      </c>
      <c r="I933" s="4">
        <v>200</v>
      </c>
      <c r="J933" s="4">
        <v>0.97</v>
      </c>
      <c r="K933" s="4">
        <v>6.29</v>
      </c>
      <c r="L933" s="4">
        <v>1.2</v>
      </c>
      <c r="M933" s="4">
        <v>6</v>
      </c>
      <c r="N933" s="4">
        <v>827</v>
      </c>
      <c r="O933" s="4" t="str">
        <f t="shared" si="28"/>
        <v>EMI</v>
      </c>
      <c r="P933" s="5">
        <f t="shared" si="29"/>
        <v>101630.1</v>
      </c>
    </row>
    <row r="934" spans="1:16" x14ac:dyDescent="0.25">
      <c r="A934" s="4">
        <v>2015</v>
      </c>
      <c r="B934" s="4">
        <v>6</v>
      </c>
      <c r="C934" s="12" t="s">
        <v>26</v>
      </c>
      <c r="D934" s="4" t="s">
        <v>13</v>
      </c>
      <c r="E934" s="4" t="s">
        <v>17</v>
      </c>
      <c r="F934" s="4" t="s">
        <v>15</v>
      </c>
      <c r="G934" s="5">
        <v>113518</v>
      </c>
      <c r="H934" s="5">
        <v>206164</v>
      </c>
      <c r="I934" s="4">
        <v>373</v>
      </c>
      <c r="J934" s="4">
        <v>0.97</v>
      </c>
      <c r="K934" s="4">
        <v>6.29</v>
      </c>
      <c r="L934" s="4">
        <v>1.2</v>
      </c>
      <c r="M934" s="4">
        <v>10</v>
      </c>
      <c r="N934" s="4">
        <v>1156</v>
      </c>
      <c r="O934" s="4" t="str">
        <f t="shared" si="28"/>
        <v>EMI</v>
      </c>
      <c r="P934" s="5">
        <f t="shared" si="29"/>
        <v>114880.216</v>
      </c>
    </row>
    <row r="935" spans="1:16" x14ac:dyDescent="0.25">
      <c r="A935" s="4">
        <v>2021</v>
      </c>
      <c r="B935" s="4">
        <v>12</v>
      </c>
      <c r="C935" s="12" t="s">
        <v>33</v>
      </c>
      <c r="D935" s="4" t="s">
        <v>13</v>
      </c>
      <c r="E935" s="4" t="s">
        <v>18</v>
      </c>
      <c r="F935" s="4" t="s">
        <v>21</v>
      </c>
      <c r="G935" s="5">
        <v>117844</v>
      </c>
      <c r="H935" s="5">
        <v>441897</v>
      </c>
      <c r="I935" s="4">
        <v>332</v>
      </c>
      <c r="J935" s="4">
        <v>0.97</v>
      </c>
      <c r="K935" s="4">
        <v>6.29</v>
      </c>
      <c r="L935" s="4">
        <v>1.2</v>
      </c>
      <c r="M935" s="4">
        <v>9</v>
      </c>
      <c r="N935" s="4">
        <v>738</v>
      </c>
      <c r="O935" s="4" t="str">
        <f t="shared" si="28"/>
        <v>EMI</v>
      </c>
      <c r="P935" s="5">
        <f t="shared" si="29"/>
        <v>119258.128</v>
      </c>
    </row>
    <row r="936" spans="1:16" x14ac:dyDescent="0.25">
      <c r="A936" s="4">
        <v>2015</v>
      </c>
      <c r="B936" s="4">
        <v>11</v>
      </c>
      <c r="C936" s="12" t="s">
        <v>23</v>
      </c>
      <c r="D936" s="4" t="s">
        <v>20</v>
      </c>
      <c r="E936" s="4" t="s">
        <v>17</v>
      </c>
      <c r="F936" s="4" t="s">
        <v>21</v>
      </c>
      <c r="G936" s="5">
        <v>67919</v>
      </c>
      <c r="H936" s="5">
        <v>435546</v>
      </c>
      <c r="I936" s="4">
        <v>190</v>
      </c>
      <c r="J936" s="4">
        <v>0.97</v>
      </c>
      <c r="K936" s="4">
        <v>6.29</v>
      </c>
      <c r="L936" s="4">
        <v>1.2</v>
      </c>
      <c r="M936" s="4">
        <v>1</v>
      </c>
      <c r="N936" s="4">
        <v>600</v>
      </c>
      <c r="O936" s="4" t="str">
        <f t="shared" si="28"/>
        <v>Discount</v>
      </c>
      <c r="P936" s="5">
        <f t="shared" si="29"/>
        <v>61127.1</v>
      </c>
    </row>
    <row r="937" spans="1:16" x14ac:dyDescent="0.25">
      <c r="A937" s="4">
        <v>2023</v>
      </c>
      <c r="B937" s="4">
        <v>4</v>
      </c>
      <c r="C937" s="12" t="s">
        <v>35</v>
      </c>
      <c r="D937" s="4" t="s">
        <v>29</v>
      </c>
      <c r="E937" s="4" t="s">
        <v>17</v>
      </c>
      <c r="F937" s="4" t="s">
        <v>15</v>
      </c>
      <c r="G937" s="5">
        <v>92196</v>
      </c>
      <c r="H937" s="5">
        <v>256717</v>
      </c>
      <c r="I937" s="4">
        <v>87</v>
      </c>
      <c r="J937" s="4">
        <v>0.97</v>
      </c>
      <c r="K937" s="4">
        <v>6.29</v>
      </c>
      <c r="L937" s="4">
        <v>1.2</v>
      </c>
      <c r="M937" s="4">
        <v>4</v>
      </c>
      <c r="N937" s="4">
        <v>566</v>
      </c>
      <c r="O937" s="4" t="str">
        <f t="shared" si="28"/>
        <v>EMI</v>
      </c>
      <c r="P937" s="5">
        <f t="shared" si="29"/>
        <v>93302.351999999999</v>
      </c>
    </row>
    <row r="938" spans="1:16" x14ac:dyDescent="0.25">
      <c r="A938" s="4">
        <v>2015</v>
      </c>
      <c r="B938" s="4">
        <v>2</v>
      </c>
      <c r="C938" s="12" t="s">
        <v>30</v>
      </c>
      <c r="D938" s="4" t="s">
        <v>31</v>
      </c>
      <c r="E938" s="4" t="s">
        <v>17</v>
      </c>
      <c r="F938" s="4" t="s">
        <v>18</v>
      </c>
      <c r="G938" s="5">
        <v>114401</v>
      </c>
      <c r="H938" s="5">
        <v>413334</v>
      </c>
      <c r="I938" s="4">
        <v>84</v>
      </c>
      <c r="J938" s="4">
        <v>0.97</v>
      </c>
      <c r="K938" s="4">
        <v>6.29</v>
      </c>
      <c r="L938" s="4">
        <v>1.2</v>
      </c>
      <c r="M938" s="4">
        <v>1</v>
      </c>
      <c r="N938" s="4">
        <v>268</v>
      </c>
      <c r="O938" s="4" t="str">
        <f t="shared" si="28"/>
        <v>Discount</v>
      </c>
      <c r="P938" s="5">
        <f t="shared" si="29"/>
        <v>102960.90000000001</v>
      </c>
    </row>
    <row r="939" spans="1:16" x14ac:dyDescent="0.25">
      <c r="A939" s="4">
        <v>2015</v>
      </c>
      <c r="B939" s="4">
        <v>2</v>
      </c>
      <c r="C939" s="12" t="s">
        <v>28</v>
      </c>
      <c r="D939" s="4" t="s">
        <v>13</v>
      </c>
      <c r="E939" s="4" t="s">
        <v>17</v>
      </c>
      <c r="F939" s="4" t="s">
        <v>21</v>
      </c>
      <c r="G939" s="5">
        <v>35495</v>
      </c>
      <c r="H939" s="5">
        <v>412612</v>
      </c>
      <c r="I939" s="4">
        <v>304</v>
      </c>
      <c r="J939" s="4">
        <v>0.97</v>
      </c>
      <c r="K939" s="4">
        <v>6.29</v>
      </c>
      <c r="L939" s="4">
        <v>1.2</v>
      </c>
      <c r="M939" s="4">
        <v>1</v>
      </c>
      <c r="N939" s="4">
        <v>973</v>
      </c>
      <c r="O939" s="4" t="str">
        <f t="shared" si="28"/>
        <v>Discount</v>
      </c>
      <c r="P939" s="5">
        <f t="shared" si="29"/>
        <v>31945.5</v>
      </c>
    </row>
    <row r="940" spans="1:16" x14ac:dyDescent="0.25">
      <c r="A940" s="4">
        <v>2021</v>
      </c>
      <c r="B940" s="4">
        <v>9</v>
      </c>
      <c r="C940" s="12" t="s">
        <v>23</v>
      </c>
      <c r="D940" s="4" t="s">
        <v>31</v>
      </c>
      <c r="E940" s="4" t="s">
        <v>18</v>
      </c>
      <c r="F940" s="4" t="s">
        <v>25</v>
      </c>
      <c r="G940" s="5">
        <v>79755</v>
      </c>
      <c r="H940" s="5">
        <v>441351</v>
      </c>
      <c r="I940" s="4">
        <v>290</v>
      </c>
      <c r="J940" s="4">
        <v>0.97</v>
      </c>
      <c r="K940" s="4">
        <v>6.29</v>
      </c>
      <c r="L940" s="4">
        <v>1.2</v>
      </c>
      <c r="M940" s="4">
        <v>8</v>
      </c>
      <c r="N940" s="4">
        <v>602</v>
      </c>
      <c r="O940" s="4" t="str">
        <f t="shared" si="28"/>
        <v>EMI</v>
      </c>
      <c r="P940" s="5">
        <f t="shared" si="29"/>
        <v>80712.06</v>
      </c>
    </row>
    <row r="941" spans="1:16" x14ac:dyDescent="0.25">
      <c r="A941" s="4">
        <v>2016</v>
      </c>
      <c r="B941" s="4">
        <v>5</v>
      </c>
      <c r="C941" s="12" t="s">
        <v>30</v>
      </c>
      <c r="D941" s="4" t="s">
        <v>16</v>
      </c>
      <c r="E941" s="4" t="s">
        <v>14</v>
      </c>
      <c r="F941" s="4" t="s">
        <v>25</v>
      </c>
      <c r="G941" s="5">
        <v>102684</v>
      </c>
      <c r="H941" s="5">
        <v>76505</v>
      </c>
      <c r="I941" s="4">
        <v>30</v>
      </c>
      <c r="J941" s="4">
        <v>0.97</v>
      </c>
      <c r="K941" s="4">
        <v>6.29</v>
      </c>
      <c r="L941" s="4">
        <v>1.2</v>
      </c>
      <c r="M941" s="4">
        <v>2</v>
      </c>
      <c r="N941" s="4">
        <v>336</v>
      </c>
      <c r="O941" s="4" t="str">
        <f t="shared" si="28"/>
        <v>Full</v>
      </c>
      <c r="P941" s="5">
        <f t="shared" si="29"/>
        <v>102684</v>
      </c>
    </row>
    <row r="942" spans="1:16" x14ac:dyDescent="0.25">
      <c r="A942" s="4">
        <v>2019</v>
      </c>
      <c r="B942" s="4">
        <v>4</v>
      </c>
      <c r="C942" s="12" t="s">
        <v>30</v>
      </c>
      <c r="D942" s="4" t="s">
        <v>37</v>
      </c>
      <c r="E942" s="4" t="s">
        <v>14</v>
      </c>
      <c r="F942" s="4" t="s">
        <v>25</v>
      </c>
      <c r="G942" s="5">
        <v>68324</v>
      </c>
      <c r="H942" s="5">
        <v>86713</v>
      </c>
      <c r="I942" s="4">
        <v>180</v>
      </c>
      <c r="J942" s="4">
        <v>0.97</v>
      </c>
      <c r="K942" s="4">
        <v>6.29</v>
      </c>
      <c r="L942" s="4">
        <v>1.2</v>
      </c>
      <c r="M942" s="4">
        <v>1</v>
      </c>
      <c r="N942" s="4">
        <v>636</v>
      </c>
      <c r="O942" s="4" t="str">
        <f t="shared" si="28"/>
        <v>Full</v>
      </c>
      <c r="P942" s="5">
        <f t="shared" si="29"/>
        <v>68324</v>
      </c>
    </row>
    <row r="943" spans="1:16" x14ac:dyDescent="0.25">
      <c r="A943" s="4">
        <v>2022</v>
      </c>
      <c r="B943" s="4">
        <v>10</v>
      </c>
      <c r="C943" s="12" t="s">
        <v>26</v>
      </c>
      <c r="D943" s="4" t="s">
        <v>29</v>
      </c>
      <c r="E943" s="4" t="s">
        <v>14</v>
      </c>
      <c r="F943" s="4" t="s">
        <v>21</v>
      </c>
      <c r="G943" s="5">
        <v>113929</v>
      </c>
      <c r="H943" s="5">
        <v>497603</v>
      </c>
      <c r="I943" s="4">
        <v>24</v>
      </c>
      <c r="J943" s="4">
        <v>0.97</v>
      </c>
      <c r="K943" s="4">
        <v>6.29</v>
      </c>
      <c r="L943" s="4">
        <v>1.2</v>
      </c>
      <c r="M943" s="4">
        <v>8</v>
      </c>
      <c r="N943" s="4">
        <v>324</v>
      </c>
      <c r="O943" s="4" t="str">
        <f t="shared" si="28"/>
        <v>EMI</v>
      </c>
      <c r="P943" s="5">
        <f t="shared" si="29"/>
        <v>115296.148</v>
      </c>
    </row>
    <row r="944" spans="1:16" x14ac:dyDescent="0.25">
      <c r="A944" s="4">
        <v>2022</v>
      </c>
      <c r="B944" s="4">
        <v>1</v>
      </c>
      <c r="C944" s="12" t="s">
        <v>26</v>
      </c>
      <c r="D944" s="4" t="s">
        <v>20</v>
      </c>
      <c r="E944" s="4" t="s">
        <v>18</v>
      </c>
      <c r="F944" s="4" t="s">
        <v>18</v>
      </c>
      <c r="G944" s="5">
        <v>36552</v>
      </c>
      <c r="H944" s="5">
        <v>355313</v>
      </c>
      <c r="I944" s="4">
        <v>220</v>
      </c>
      <c r="J944" s="4">
        <v>0.97</v>
      </c>
      <c r="K944" s="4">
        <v>6.29</v>
      </c>
      <c r="L944" s="4">
        <v>1.2</v>
      </c>
      <c r="M944" s="4">
        <v>4</v>
      </c>
      <c r="N944" s="4">
        <v>724</v>
      </c>
      <c r="O944" s="4" t="str">
        <f t="shared" si="28"/>
        <v>EMI</v>
      </c>
      <c r="P944" s="5">
        <f t="shared" si="29"/>
        <v>36990.624000000003</v>
      </c>
    </row>
    <row r="945" spans="1:16" x14ac:dyDescent="0.25">
      <c r="A945" s="4">
        <v>2017</v>
      </c>
      <c r="B945" s="4">
        <v>7</v>
      </c>
      <c r="C945" s="12" t="s">
        <v>19</v>
      </c>
      <c r="D945" s="4" t="s">
        <v>27</v>
      </c>
      <c r="E945" s="4" t="s">
        <v>17</v>
      </c>
      <c r="F945" s="4" t="s">
        <v>18</v>
      </c>
      <c r="G945" s="5">
        <v>86272</v>
      </c>
      <c r="H945" s="5">
        <v>254354</v>
      </c>
      <c r="I945" s="4">
        <v>57</v>
      </c>
      <c r="J945" s="4">
        <v>0.97</v>
      </c>
      <c r="K945" s="4">
        <v>6.29</v>
      </c>
      <c r="L945" s="4">
        <v>1.2</v>
      </c>
      <c r="M945" s="4">
        <v>3</v>
      </c>
      <c r="N945" s="4">
        <v>150</v>
      </c>
      <c r="O945" s="4" t="str">
        <f t="shared" si="28"/>
        <v>EMI</v>
      </c>
      <c r="P945" s="5">
        <f t="shared" si="29"/>
        <v>87307.263999999996</v>
      </c>
    </row>
    <row r="946" spans="1:16" x14ac:dyDescent="0.25">
      <c r="A946" s="4">
        <v>2021</v>
      </c>
      <c r="B946" s="4">
        <v>3</v>
      </c>
      <c r="C946" s="12" t="s">
        <v>36</v>
      </c>
      <c r="D946" s="4" t="s">
        <v>13</v>
      </c>
      <c r="E946" s="4" t="s">
        <v>14</v>
      </c>
      <c r="F946" s="4" t="s">
        <v>15</v>
      </c>
      <c r="G946" s="5">
        <v>70853</v>
      </c>
      <c r="H946" s="5">
        <v>127511</v>
      </c>
      <c r="I946" s="4">
        <v>95</v>
      </c>
      <c r="J946" s="4">
        <v>0.97</v>
      </c>
      <c r="K946" s="4">
        <v>6.29</v>
      </c>
      <c r="L946" s="4">
        <v>1.2</v>
      </c>
      <c r="M946" s="4">
        <v>4</v>
      </c>
      <c r="N946" s="4">
        <v>429</v>
      </c>
      <c r="O946" s="4" t="str">
        <f t="shared" si="28"/>
        <v>EMI</v>
      </c>
      <c r="P946" s="5">
        <f t="shared" si="29"/>
        <v>71703.236000000004</v>
      </c>
    </row>
    <row r="947" spans="1:16" x14ac:dyDescent="0.25">
      <c r="A947" s="4">
        <v>2017</v>
      </c>
      <c r="B947" s="4">
        <v>6</v>
      </c>
      <c r="C947" s="12" t="s">
        <v>23</v>
      </c>
      <c r="D947" s="4" t="s">
        <v>16</v>
      </c>
      <c r="E947" s="4" t="s">
        <v>18</v>
      </c>
      <c r="F947" s="4" t="s">
        <v>21</v>
      </c>
      <c r="G947" s="5">
        <v>67924</v>
      </c>
      <c r="H947" s="5">
        <v>494958</v>
      </c>
      <c r="I947" s="4">
        <v>158</v>
      </c>
      <c r="J947" s="4">
        <v>0.97</v>
      </c>
      <c r="K947" s="4">
        <v>6.29</v>
      </c>
      <c r="L947" s="4">
        <v>1.2</v>
      </c>
      <c r="M947" s="4">
        <v>5</v>
      </c>
      <c r="N947" s="4">
        <v>576</v>
      </c>
      <c r="O947" s="4" t="str">
        <f t="shared" si="28"/>
        <v>EMI</v>
      </c>
      <c r="P947" s="5">
        <f t="shared" si="29"/>
        <v>68739.088000000003</v>
      </c>
    </row>
    <row r="948" spans="1:16" x14ac:dyDescent="0.25">
      <c r="A948" s="4">
        <v>2020</v>
      </c>
      <c r="B948" s="4">
        <v>5</v>
      </c>
      <c r="C948" s="12" t="s">
        <v>28</v>
      </c>
      <c r="D948" s="4" t="s">
        <v>31</v>
      </c>
      <c r="E948" s="4" t="s">
        <v>17</v>
      </c>
      <c r="F948" s="4" t="s">
        <v>18</v>
      </c>
      <c r="G948" s="5">
        <v>109462</v>
      </c>
      <c r="H948" s="5">
        <v>352666</v>
      </c>
      <c r="I948" s="4">
        <v>197</v>
      </c>
      <c r="J948" s="4">
        <v>0.97</v>
      </c>
      <c r="K948" s="4">
        <v>6.29</v>
      </c>
      <c r="L948" s="4">
        <v>1.2</v>
      </c>
      <c r="M948" s="4">
        <v>1</v>
      </c>
      <c r="N948" s="4">
        <v>744</v>
      </c>
      <c r="O948" s="4" t="str">
        <f t="shared" si="28"/>
        <v>Discount</v>
      </c>
      <c r="P948" s="5">
        <f t="shared" si="29"/>
        <v>98515.8</v>
      </c>
    </row>
    <row r="949" spans="1:16" x14ac:dyDescent="0.25">
      <c r="A949" s="4">
        <v>2020</v>
      </c>
      <c r="B949" s="4">
        <v>5</v>
      </c>
      <c r="C949" s="12" t="s">
        <v>34</v>
      </c>
      <c r="D949" s="4" t="s">
        <v>24</v>
      </c>
      <c r="E949" s="4" t="s">
        <v>14</v>
      </c>
      <c r="F949" s="4" t="s">
        <v>21</v>
      </c>
      <c r="G949" s="5">
        <v>58889</v>
      </c>
      <c r="H949" s="5">
        <v>262204</v>
      </c>
      <c r="I949" s="4">
        <v>381</v>
      </c>
      <c r="J949" s="4">
        <v>0.97</v>
      </c>
      <c r="K949" s="4">
        <v>6.29</v>
      </c>
      <c r="L949" s="4">
        <v>1.2</v>
      </c>
      <c r="M949" s="4">
        <v>1</v>
      </c>
      <c r="N949" s="4">
        <v>819</v>
      </c>
      <c r="O949" s="4" t="str">
        <f t="shared" si="28"/>
        <v>Full</v>
      </c>
      <c r="P949" s="5">
        <f t="shared" si="29"/>
        <v>58889</v>
      </c>
    </row>
    <row r="950" spans="1:16" x14ac:dyDescent="0.25">
      <c r="A950" s="4">
        <v>2017</v>
      </c>
      <c r="B950" s="4">
        <v>11</v>
      </c>
      <c r="C950" s="12" t="s">
        <v>28</v>
      </c>
      <c r="D950" s="4" t="s">
        <v>22</v>
      </c>
      <c r="E950" s="4" t="s">
        <v>17</v>
      </c>
      <c r="F950" s="4" t="s">
        <v>15</v>
      </c>
      <c r="G950" s="5">
        <v>89675</v>
      </c>
      <c r="H950" s="5">
        <v>300694</v>
      </c>
      <c r="I950" s="4">
        <v>315</v>
      </c>
      <c r="J950" s="4">
        <v>0.97</v>
      </c>
      <c r="K950" s="4">
        <v>6.29</v>
      </c>
      <c r="L950" s="4">
        <v>1.2</v>
      </c>
      <c r="M950" s="4">
        <v>3</v>
      </c>
      <c r="N950" s="4">
        <v>1029</v>
      </c>
      <c r="O950" s="4" t="str">
        <f t="shared" si="28"/>
        <v>EMI</v>
      </c>
      <c r="P950" s="5">
        <f t="shared" si="29"/>
        <v>90751.1</v>
      </c>
    </row>
    <row r="951" spans="1:16" x14ac:dyDescent="0.25">
      <c r="A951" s="4">
        <v>2021</v>
      </c>
      <c r="B951" s="4">
        <v>5</v>
      </c>
      <c r="C951" s="12" t="s">
        <v>19</v>
      </c>
      <c r="D951" s="4" t="s">
        <v>29</v>
      </c>
      <c r="E951" s="4" t="s">
        <v>14</v>
      </c>
      <c r="F951" s="4" t="s">
        <v>15</v>
      </c>
      <c r="G951" s="5">
        <v>108591</v>
      </c>
      <c r="H951" s="5">
        <v>299836</v>
      </c>
      <c r="I951" s="4">
        <v>160</v>
      </c>
      <c r="J951" s="4">
        <v>0.97</v>
      </c>
      <c r="K951" s="4">
        <v>6.29</v>
      </c>
      <c r="L951" s="4">
        <v>1.2</v>
      </c>
      <c r="M951" s="4">
        <v>6</v>
      </c>
      <c r="N951" s="4">
        <v>403</v>
      </c>
      <c r="O951" s="4" t="str">
        <f t="shared" si="28"/>
        <v>EMI</v>
      </c>
      <c r="P951" s="5">
        <f t="shared" si="29"/>
        <v>109894.092</v>
      </c>
    </row>
    <row r="952" spans="1:16" x14ac:dyDescent="0.25">
      <c r="A952" s="4">
        <v>2017</v>
      </c>
      <c r="B952" s="4">
        <v>1</v>
      </c>
      <c r="C952" s="12" t="s">
        <v>35</v>
      </c>
      <c r="D952" s="4" t="s">
        <v>29</v>
      </c>
      <c r="E952" s="4" t="s">
        <v>14</v>
      </c>
      <c r="F952" s="4" t="s">
        <v>15</v>
      </c>
      <c r="G952" s="5">
        <v>105190</v>
      </c>
      <c r="H952" s="5">
        <v>284561</v>
      </c>
      <c r="I952" s="4">
        <v>150</v>
      </c>
      <c r="J952" s="4">
        <v>0.97</v>
      </c>
      <c r="K952" s="4">
        <v>6.29</v>
      </c>
      <c r="L952" s="4">
        <v>1.2</v>
      </c>
      <c r="M952" s="4">
        <v>1</v>
      </c>
      <c r="N952" s="4">
        <v>515</v>
      </c>
      <c r="O952" s="4" t="str">
        <f t="shared" si="28"/>
        <v>Full</v>
      </c>
      <c r="P952" s="5">
        <f t="shared" si="29"/>
        <v>105190</v>
      </c>
    </row>
    <row r="953" spans="1:16" x14ac:dyDescent="0.25">
      <c r="A953" s="4">
        <v>2022</v>
      </c>
      <c r="B953" s="4">
        <v>1</v>
      </c>
      <c r="C953" s="12" t="s">
        <v>36</v>
      </c>
      <c r="D953" s="4" t="s">
        <v>16</v>
      </c>
      <c r="E953" s="4" t="s">
        <v>14</v>
      </c>
      <c r="F953" s="4" t="s">
        <v>25</v>
      </c>
      <c r="G953" s="5">
        <v>57634</v>
      </c>
      <c r="H953" s="5">
        <v>411541</v>
      </c>
      <c r="I953" s="4">
        <v>78</v>
      </c>
      <c r="J953" s="4">
        <v>0.97</v>
      </c>
      <c r="K953" s="4">
        <v>6.29</v>
      </c>
      <c r="L953" s="4">
        <v>1.2</v>
      </c>
      <c r="M953" s="4">
        <v>2</v>
      </c>
      <c r="N953" s="4">
        <v>557</v>
      </c>
      <c r="O953" s="4" t="str">
        <f t="shared" si="28"/>
        <v>Discount</v>
      </c>
      <c r="P953" s="5">
        <f t="shared" si="29"/>
        <v>51870.6</v>
      </c>
    </row>
    <row r="954" spans="1:16" x14ac:dyDescent="0.25">
      <c r="A954" s="4">
        <v>2024</v>
      </c>
      <c r="B954" s="4">
        <v>3</v>
      </c>
      <c r="C954" s="12" t="s">
        <v>34</v>
      </c>
      <c r="D954" s="4" t="s">
        <v>31</v>
      </c>
      <c r="E954" s="4" t="s">
        <v>17</v>
      </c>
      <c r="F954" s="4" t="s">
        <v>21</v>
      </c>
      <c r="G954" s="5">
        <v>67363</v>
      </c>
      <c r="H954" s="5">
        <v>53880</v>
      </c>
      <c r="I954" s="4">
        <v>269</v>
      </c>
      <c r="J954" s="4">
        <v>0.97</v>
      </c>
      <c r="K954" s="4">
        <v>6.29</v>
      </c>
      <c r="L954" s="4">
        <v>1.2</v>
      </c>
      <c r="M954" s="4">
        <v>7</v>
      </c>
      <c r="N954" s="4">
        <v>607</v>
      </c>
      <c r="O954" s="4" t="str">
        <f t="shared" si="28"/>
        <v>EMI</v>
      </c>
      <c r="P954" s="5">
        <f t="shared" si="29"/>
        <v>68171.356</v>
      </c>
    </row>
    <row r="955" spans="1:16" x14ac:dyDescent="0.25">
      <c r="A955" s="4">
        <v>2018</v>
      </c>
      <c r="B955" s="4">
        <v>12</v>
      </c>
      <c r="C955" s="12" t="s">
        <v>12</v>
      </c>
      <c r="D955" s="4" t="s">
        <v>32</v>
      </c>
      <c r="E955" s="4" t="s">
        <v>18</v>
      </c>
      <c r="F955" s="4" t="s">
        <v>15</v>
      </c>
      <c r="G955" s="5">
        <v>98752</v>
      </c>
      <c r="H955" s="5">
        <v>486670</v>
      </c>
      <c r="I955" s="4">
        <v>343</v>
      </c>
      <c r="J955" s="4">
        <v>0.97</v>
      </c>
      <c r="K955" s="4">
        <v>6.29</v>
      </c>
      <c r="L955" s="4">
        <v>1.2</v>
      </c>
      <c r="M955" s="4">
        <v>1</v>
      </c>
      <c r="N955" s="4">
        <v>1116</v>
      </c>
      <c r="O955" s="4" t="str">
        <f t="shared" si="28"/>
        <v>Discount</v>
      </c>
      <c r="P955" s="5">
        <f t="shared" si="29"/>
        <v>88876.800000000003</v>
      </c>
    </row>
    <row r="956" spans="1:16" x14ac:dyDescent="0.25">
      <c r="A956" s="4">
        <v>2015</v>
      </c>
      <c r="B956" s="4">
        <v>10</v>
      </c>
      <c r="C956" s="12" t="s">
        <v>35</v>
      </c>
      <c r="D956" s="4" t="s">
        <v>29</v>
      </c>
      <c r="E956" s="4" t="s">
        <v>17</v>
      </c>
      <c r="F956" s="4" t="s">
        <v>21</v>
      </c>
      <c r="G956" s="5">
        <v>112004</v>
      </c>
      <c r="H956" s="5">
        <v>498927</v>
      </c>
      <c r="I956" s="4">
        <v>18</v>
      </c>
      <c r="J956" s="4">
        <v>0.97</v>
      </c>
      <c r="K956" s="4">
        <v>6.29</v>
      </c>
      <c r="L956" s="4">
        <v>1.2</v>
      </c>
      <c r="M956" s="4">
        <v>7</v>
      </c>
      <c r="N956" s="4">
        <v>130</v>
      </c>
      <c r="O956" s="4" t="str">
        <f t="shared" si="28"/>
        <v>EMI</v>
      </c>
      <c r="P956" s="5">
        <f t="shared" si="29"/>
        <v>113348.048</v>
      </c>
    </row>
    <row r="957" spans="1:16" x14ac:dyDescent="0.25">
      <c r="A957" s="4">
        <v>2018</v>
      </c>
      <c r="B957" s="4">
        <v>4</v>
      </c>
      <c r="C957" s="12" t="s">
        <v>26</v>
      </c>
      <c r="D957" s="4" t="s">
        <v>32</v>
      </c>
      <c r="E957" s="4" t="s">
        <v>14</v>
      </c>
      <c r="F957" s="4" t="s">
        <v>25</v>
      </c>
      <c r="G957" s="5">
        <v>91398</v>
      </c>
      <c r="H957" s="5">
        <v>93539</v>
      </c>
      <c r="I957" s="4">
        <v>130</v>
      </c>
      <c r="J957" s="4">
        <v>0.97</v>
      </c>
      <c r="K957" s="4">
        <v>6.29</v>
      </c>
      <c r="L957" s="4">
        <v>1.2</v>
      </c>
      <c r="M957" s="4">
        <v>4</v>
      </c>
      <c r="N957" s="4">
        <v>559</v>
      </c>
      <c r="O957" s="4" t="str">
        <f t="shared" si="28"/>
        <v>EMI</v>
      </c>
      <c r="P957" s="5">
        <f t="shared" si="29"/>
        <v>92494.775999999998</v>
      </c>
    </row>
    <row r="958" spans="1:16" x14ac:dyDescent="0.25">
      <c r="A958" s="4">
        <v>2021</v>
      </c>
      <c r="B958" s="4">
        <v>5</v>
      </c>
      <c r="C958" s="12" t="s">
        <v>30</v>
      </c>
      <c r="D958" s="4" t="s">
        <v>24</v>
      </c>
      <c r="E958" s="4" t="s">
        <v>17</v>
      </c>
      <c r="F958" s="4" t="s">
        <v>25</v>
      </c>
      <c r="G958" s="5">
        <v>75718</v>
      </c>
      <c r="H958" s="5">
        <v>290056</v>
      </c>
      <c r="I958" s="4">
        <v>380</v>
      </c>
      <c r="J958" s="4">
        <v>0.97</v>
      </c>
      <c r="K958" s="4">
        <v>6.29</v>
      </c>
      <c r="L958" s="4">
        <v>1.2</v>
      </c>
      <c r="M958" s="4">
        <v>10</v>
      </c>
      <c r="N958" s="4">
        <v>1088</v>
      </c>
      <c r="O958" s="4" t="str">
        <f t="shared" si="28"/>
        <v>EMI</v>
      </c>
      <c r="P958" s="5">
        <f t="shared" si="29"/>
        <v>76626.615999999995</v>
      </c>
    </row>
    <row r="959" spans="1:16" x14ac:dyDescent="0.25">
      <c r="A959" s="4">
        <v>2018</v>
      </c>
      <c r="B959" s="4">
        <v>2</v>
      </c>
      <c r="C959" s="12" t="s">
        <v>12</v>
      </c>
      <c r="D959" s="4" t="s">
        <v>16</v>
      </c>
      <c r="E959" s="4" t="s">
        <v>18</v>
      </c>
      <c r="F959" s="4" t="s">
        <v>15</v>
      </c>
      <c r="G959" s="5">
        <v>117916</v>
      </c>
      <c r="H959" s="5">
        <v>269057</v>
      </c>
      <c r="I959" s="4">
        <v>110</v>
      </c>
      <c r="J959" s="4">
        <v>0.97</v>
      </c>
      <c r="K959" s="4">
        <v>6.29</v>
      </c>
      <c r="L959" s="4">
        <v>1.2</v>
      </c>
      <c r="M959" s="4">
        <v>6</v>
      </c>
      <c r="N959" s="4">
        <v>360</v>
      </c>
      <c r="O959" s="4" t="str">
        <f t="shared" si="28"/>
        <v>EMI</v>
      </c>
      <c r="P959" s="5">
        <f t="shared" si="29"/>
        <v>119330.992</v>
      </c>
    </row>
    <row r="960" spans="1:16" x14ac:dyDescent="0.25">
      <c r="A960" s="4">
        <v>2020</v>
      </c>
      <c r="B960" s="4">
        <v>8</v>
      </c>
      <c r="C960" s="12" t="s">
        <v>28</v>
      </c>
      <c r="D960" s="4" t="s">
        <v>31</v>
      </c>
      <c r="E960" s="4" t="s">
        <v>17</v>
      </c>
      <c r="F960" s="4" t="s">
        <v>15</v>
      </c>
      <c r="G960" s="5">
        <v>61870</v>
      </c>
      <c r="H960" s="5">
        <v>64799</v>
      </c>
      <c r="I960" s="4">
        <v>158</v>
      </c>
      <c r="J960" s="4">
        <v>0.97</v>
      </c>
      <c r="K960" s="4">
        <v>6.29</v>
      </c>
      <c r="L960" s="4">
        <v>1.2</v>
      </c>
      <c r="M960" s="4">
        <v>8</v>
      </c>
      <c r="N960" s="4">
        <v>740</v>
      </c>
      <c r="O960" s="4" t="str">
        <f t="shared" si="28"/>
        <v>EMI</v>
      </c>
      <c r="P960" s="5">
        <f t="shared" si="29"/>
        <v>62612.44</v>
      </c>
    </row>
    <row r="961" spans="1:16" x14ac:dyDescent="0.25">
      <c r="A961" s="4">
        <v>2023</v>
      </c>
      <c r="B961" s="4">
        <v>11</v>
      </c>
      <c r="C961" s="12" t="s">
        <v>28</v>
      </c>
      <c r="D961" s="4" t="s">
        <v>31</v>
      </c>
      <c r="E961" s="4" t="s">
        <v>18</v>
      </c>
      <c r="F961" s="4" t="s">
        <v>18</v>
      </c>
      <c r="G961" s="5">
        <v>72394</v>
      </c>
      <c r="H961" s="5">
        <v>154843</v>
      </c>
      <c r="I961" s="4">
        <v>155</v>
      </c>
      <c r="J961" s="4">
        <v>0.97</v>
      </c>
      <c r="K961" s="4">
        <v>6.29</v>
      </c>
      <c r="L961" s="4">
        <v>1.2</v>
      </c>
      <c r="M961" s="4">
        <v>9</v>
      </c>
      <c r="N961" s="4">
        <v>521</v>
      </c>
      <c r="O961" s="4" t="str">
        <f t="shared" si="28"/>
        <v>EMI</v>
      </c>
      <c r="P961" s="5">
        <f t="shared" si="29"/>
        <v>73262.728000000003</v>
      </c>
    </row>
    <row r="962" spans="1:16" x14ac:dyDescent="0.25">
      <c r="A962" s="4">
        <v>2015</v>
      </c>
      <c r="B962" s="4">
        <v>11</v>
      </c>
      <c r="C962" s="12" t="s">
        <v>26</v>
      </c>
      <c r="D962" s="4" t="s">
        <v>37</v>
      </c>
      <c r="E962" s="4" t="s">
        <v>18</v>
      </c>
      <c r="F962" s="4" t="s">
        <v>21</v>
      </c>
      <c r="G962" s="5">
        <v>87057</v>
      </c>
      <c r="H962" s="5">
        <v>493942</v>
      </c>
      <c r="I962" s="4">
        <v>362</v>
      </c>
      <c r="J962" s="4">
        <v>0.97</v>
      </c>
      <c r="K962" s="4">
        <v>6.29</v>
      </c>
      <c r="L962" s="4">
        <v>1.2</v>
      </c>
      <c r="M962" s="4">
        <v>6</v>
      </c>
      <c r="N962" s="4">
        <v>1196</v>
      </c>
      <c r="O962" s="4" t="str">
        <f t="shared" ref="O962:O1000" si="30">IF(M962&gt;2,"EMI",IF(H962&gt;300000,"Discount","Full"))</f>
        <v>EMI</v>
      </c>
      <c r="P962" s="5">
        <f t="shared" ref="P962:P1000" si="31">IF(O962="EMI", G962*(1+L962/100), IF(O962="Full", G962, G962*0.9))</f>
        <v>88101.683999999994</v>
      </c>
    </row>
    <row r="963" spans="1:16" x14ac:dyDescent="0.25">
      <c r="A963" s="4">
        <v>2019</v>
      </c>
      <c r="B963" s="4">
        <v>2</v>
      </c>
      <c r="C963" s="12" t="s">
        <v>19</v>
      </c>
      <c r="D963" s="4" t="s">
        <v>22</v>
      </c>
      <c r="E963" s="4" t="s">
        <v>17</v>
      </c>
      <c r="F963" s="4" t="s">
        <v>15</v>
      </c>
      <c r="G963" s="5">
        <v>114795</v>
      </c>
      <c r="H963" s="5">
        <v>98784</v>
      </c>
      <c r="I963" s="4">
        <v>252</v>
      </c>
      <c r="J963" s="4">
        <v>0.97</v>
      </c>
      <c r="K963" s="4">
        <v>6.29</v>
      </c>
      <c r="L963" s="4">
        <v>1.2</v>
      </c>
      <c r="M963" s="4">
        <v>9</v>
      </c>
      <c r="N963" s="4">
        <v>724</v>
      </c>
      <c r="O963" s="4" t="str">
        <f t="shared" si="30"/>
        <v>EMI</v>
      </c>
      <c r="P963" s="5">
        <f t="shared" si="31"/>
        <v>116172.54000000001</v>
      </c>
    </row>
    <row r="964" spans="1:16" x14ac:dyDescent="0.25">
      <c r="A964" s="4">
        <v>2021</v>
      </c>
      <c r="B964" s="4">
        <v>9</v>
      </c>
      <c r="C964" s="12" t="s">
        <v>23</v>
      </c>
      <c r="D964" s="4" t="s">
        <v>13</v>
      </c>
      <c r="E964" s="4" t="s">
        <v>14</v>
      </c>
      <c r="F964" s="4" t="s">
        <v>18</v>
      </c>
      <c r="G964" s="5">
        <v>115409</v>
      </c>
      <c r="H964" s="5">
        <v>163034</v>
      </c>
      <c r="I964" s="4">
        <v>250</v>
      </c>
      <c r="J964" s="4">
        <v>0.97</v>
      </c>
      <c r="K964" s="4">
        <v>6.29</v>
      </c>
      <c r="L964" s="4">
        <v>1.2</v>
      </c>
      <c r="M964" s="4">
        <v>4</v>
      </c>
      <c r="N964" s="4">
        <v>710</v>
      </c>
      <c r="O964" s="4" t="str">
        <f t="shared" si="30"/>
        <v>EMI</v>
      </c>
      <c r="P964" s="5">
        <f t="shared" si="31"/>
        <v>116793.908</v>
      </c>
    </row>
    <row r="965" spans="1:16" x14ac:dyDescent="0.25">
      <c r="A965" s="4">
        <v>2015</v>
      </c>
      <c r="B965" s="4">
        <v>2</v>
      </c>
      <c r="C965" s="12" t="s">
        <v>12</v>
      </c>
      <c r="D965" s="4" t="s">
        <v>13</v>
      </c>
      <c r="E965" s="4" t="s">
        <v>18</v>
      </c>
      <c r="F965" s="4" t="s">
        <v>21</v>
      </c>
      <c r="G965" s="5">
        <v>48016</v>
      </c>
      <c r="H965" s="5">
        <v>486549</v>
      </c>
      <c r="I965" s="4">
        <v>346</v>
      </c>
      <c r="J965" s="4">
        <v>0.97</v>
      </c>
      <c r="K965" s="4">
        <v>6.29</v>
      </c>
      <c r="L965" s="4">
        <v>1.2</v>
      </c>
      <c r="M965" s="4">
        <v>6</v>
      </c>
      <c r="N965" s="4">
        <v>1156</v>
      </c>
      <c r="O965" s="4" t="str">
        <f t="shared" si="30"/>
        <v>EMI</v>
      </c>
      <c r="P965" s="5">
        <f t="shared" si="31"/>
        <v>48592.192000000003</v>
      </c>
    </row>
    <row r="966" spans="1:16" x14ac:dyDescent="0.25">
      <c r="A966" s="4">
        <v>2018</v>
      </c>
      <c r="B966" s="4">
        <v>9</v>
      </c>
      <c r="C966" s="12" t="s">
        <v>12</v>
      </c>
      <c r="D966" s="4" t="s">
        <v>27</v>
      </c>
      <c r="E966" s="4" t="s">
        <v>17</v>
      </c>
      <c r="F966" s="4" t="s">
        <v>15</v>
      </c>
      <c r="G966" s="5">
        <v>77137</v>
      </c>
      <c r="H966" s="5">
        <v>484044</v>
      </c>
      <c r="I966" s="4">
        <v>52</v>
      </c>
      <c r="J966" s="4">
        <v>0.97</v>
      </c>
      <c r="K966" s="4">
        <v>6.29</v>
      </c>
      <c r="L966" s="4">
        <v>1.2</v>
      </c>
      <c r="M966" s="4">
        <v>8</v>
      </c>
      <c r="N966" s="4">
        <v>243</v>
      </c>
      <c r="O966" s="4" t="str">
        <f t="shared" si="30"/>
        <v>EMI</v>
      </c>
      <c r="P966" s="5">
        <f t="shared" si="31"/>
        <v>78062.644</v>
      </c>
    </row>
    <row r="967" spans="1:16" x14ac:dyDescent="0.25">
      <c r="A967" s="4">
        <v>2020</v>
      </c>
      <c r="B967" s="4">
        <v>7</v>
      </c>
      <c r="C967" s="12" t="s">
        <v>33</v>
      </c>
      <c r="D967" s="4" t="s">
        <v>20</v>
      </c>
      <c r="E967" s="4" t="s">
        <v>18</v>
      </c>
      <c r="F967" s="4" t="s">
        <v>18</v>
      </c>
      <c r="G967" s="5">
        <v>35153</v>
      </c>
      <c r="H967" s="5">
        <v>250598</v>
      </c>
      <c r="I967" s="4">
        <v>104</v>
      </c>
      <c r="J967" s="4">
        <v>0.97</v>
      </c>
      <c r="K967" s="4">
        <v>6.29</v>
      </c>
      <c r="L967" s="4">
        <v>1.2</v>
      </c>
      <c r="M967" s="4">
        <v>9</v>
      </c>
      <c r="N967" s="4">
        <v>630</v>
      </c>
      <c r="O967" s="4" t="str">
        <f t="shared" si="30"/>
        <v>EMI</v>
      </c>
      <c r="P967" s="5">
        <f t="shared" si="31"/>
        <v>35574.836000000003</v>
      </c>
    </row>
    <row r="968" spans="1:16" x14ac:dyDescent="0.25">
      <c r="A968" s="4">
        <v>2016</v>
      </c>
      <c r="B968" s="4">
        <v>8</v>
      </c>
      <c r="C968" s="12" t="s">
        <v>35</v>
      </c>
      <c r="D968" s="4" t="s">
        <v>16</v>
      </c>
      <c r="E968" s="4" t="s">
        <v>14</v>
      </c>
      <c r="F968" s="4" t="s">
        <v>18</v>
      </c>
      <c r="G968" s="5">
        <v>42853</v>
      </c>
      <c r="H968" s="5">
        <v>104362</v>
      </c>
      <c r="I968" s="4">
        <v>235</v>
      </c>
      <c r="J968" s="4">
        <v>0.97</v>
      </c>
      <c r="K968" s="4">
        <v>6.29</v>
      </c>
      <c r="L968" s="4">
        <v>1.2</v>
      </c>
      <c r="M968" s="4">
        <v>3</v>
      </c>
      <c r="N968" s="4">
        <v>666</v>
      </c>
      <c r="O968" s="4" t="str">
        <f t="shared" si="30"/>
        <v>EMI</v>
      </c>
      <c r="P968" s="5">
        <f t="shared" si="31"/>
        <v>43367.235999999997</v>
      </c>
    </row>
    <row r="969" spans="1:16" x14ac:dyDescent="0.25">
      <c r="A969" s="4">
        <v>2024</v>
      </c>
      <c r="B969" s="4">
        <v>11</v>
      </c>
      <c r="C969" s="12" t="s">
        <v>36</v>
      </c>
      <c r="D969" s="4" t="s">
        <v>24</v>
      </c>
      <c r="E969" s="4" t="s">
        <v>17</v>
      </c>
      <c r="F969" s="4" t="s">
        <v>21</v>
      </c>
      <c r="G969" s="5">
        <v>47379</v>
      </c>
      <c r="H969" s="5">
        <v>103997</v>
      </c>
      <c r="I969" s="4">
        <v>15</v>
      </c>
      <c r="J969" s="4">
        <v>0.97</v>
      </c>
      <c r="K969" s="4">
        <v>6.29</v>
      </c>
      <c r="L969" s="4">
        <v>1.2</v>
      </c>
      <c r="M969" s="4">
        <v>2</v>
      </c>
      <c r="N969" s="4">
        <v>59</v>
      </c>
      <c r="O969" s="4" t="str">
        <f t="shared" si="30"/>
        <v>Full</v>
      </c>
      <c r="P969" s="5">
        <f t="shared" si="31"/>
        <v>47379</v>
      </c>
    </row>
    <row r="970" spans="1:16" x14ac:dyDescent="0.25">
      <c r="A970" s="4">
        <v>2019</v>
      </c>
      <c r="B970" s="4">
        <v>2</v>
      </c>
      <c r="C970" s="12" t="s">
        <v>35</v>
      </c>
      <c r="D970" s="4" t="s">
        <v>31</v>
      </c>
      <c r="E970" s="4" t="s">
        <v>17</v>
      </c>
      <c r="F970" s="4" t="s">
        <v>18</v>
      </c>
      <c r="G970" s="5">
        <v>50792</v>
      </c>
      <c r="H970" s="5">
        <v>231413</v>
      </c>
      <c r="I970" s="4">
        <v>223</v>
      </c>
      <c r="J970" s="4">
        <v>0.97</v>
      </c>
      <c r="K970" s="4">
        <v>6.29</v>
      </c>
      <c r="L970" s="4">
        <v>1.2</v>
      </c>
      <c r="M970" s="4">
        <v>6</v>
      </c>
      <c r="N970" s="4">
        <v>804</v>
      </c>
      <c r="O970" s="4" t="str">
        <f t="shared" si="30"/>
        <v>EMI</v>
      </c>
      <c r="P970" s="5">
        <f t="shared" si="31"/>
        <v>51401.504000000001</v>
      </c>
    </row>
    <row r="971" spans="1:16" x14ac:dyDescent="0.25">
      <c r="A971" s="4">
        <v>2024</v>
      </c>
      <c r="B971" s="4">
        <v>7</v>
      </c>
      <c r="C971" s="12" t="s">
        <v>23</v>
      </c>
      <c r="D971" s="4" t="s">
        <v>22</v>
      </c>
      <c r="E971" s="4" t="s">
        <v>17</v>
      </c>
      <c r="F971" s="4" t="s">
        <v>21</v>
      </c>
      <c r="G971" s="5">
        <v>73367</v>
      </c>
      <c r="H971" s="5">
        <v>462289</v>
      </c>
      <c r="I971" s="4">
        <v>215</v>
      </c>
      <c r="J971" s="4">
        <v>0.97</v>
      </c>
      <c r="K971" s="4">
        <v>6.29</v>
      </c>
      <c r="L971" s="4">
        <v>1.2</v>
      </c>
      <c r="M971" s="4">
        <v>4</v>
      </c>
      <c r="N971" s="4">
        <v>596</v>
      </c>
      <c r="O971" s="4" t="str">
        <f t="shared" si="30"/>
        <v>EMI</v>
      </c>
      <c r="P971" s="5">
        <f t="shared" si="31"/>
        <v>74247.403999999995</v>
      </c>
    </row>
    <row r="972" spans="1:16" x14ac:dyDescent="0.25">
      <c r="A972" s="4">
        <v>2015</v>
      </c>
      <c r="B972" s="4">
        <v>12</v>
      </c>
      <c r="C972" s="12" t="s">
        <v>28</v>
      </c>
      <c r="D972" s="4" t="s">
        <v>32</v>
      </c>
      <c r="E972" s="4" t="s">
        <v>14</v>
      </c>
      <c r="F972" s="4" t="s">
        <v>21</v>
      </c>
      <c r="G972" s="5">
        <v>53100</v>
      </c>
      <c r="H972" s="5">
        <v>414543</v>
      </c>
      <c r="I972" s="4">
        <v>76</v>
      </c>
      <c r="J972" s="4">
        <v>0.97</v>
      </c>
      <c r="K972" s="4">
        <v>6.29</v>
      </c>
      <c r="L972" s="4">
        <v>1.2</v>
      </c>
      <c r="M972" s="4">
        <v>1</v>
      </c>
      <c r="N972" s="4">
        <v>320</v>
      </c>
      <c r="O972" s="4" t="str">
        <f t="shared" si="30"/>
        <v>Discount</v>
      </c>
      <c r="P972" s="5">
        <f t="shared" si="31"/>
        <v>47790</v>
      </c>
    </row>
    <row r="973" spans="1:16" x14ac:dyDescent="0.25">
      <c r="A973" s="4">
        <v>2020</v>
      </c>
      <c r="B973" s="4">
        <v>6</v>
      </c>
      <c r="C973" s="12" t="s">
        <v>28</v>
      </c>
      <c r="D973" s="4" t="s">
        <v>16</v>
      </c>
      <c r="E973" s="4" t="s">
        <v>18</v>
      </c>
      <c r="F973" s="4" t="s">
        <v>21</v>
      </c>
      <c r="G973" s="5">
        <v>98456</v>
      </c>
      <c r="H973" s="5">
        <v>326693</v>
      </c>
      <c r="I973" s="4">
        <v>109</v>
      </c>
      <c r="J973" s="4">
        <v>0.97</v>
      </c>
      <c r="K973" s="4">
        <v>6.29</v>
      </c>
      <c r="L973" s="4">
        <v>1.2</v>
      </c>
      <c r="M973" s="4">
        <v>8</v>
      </c>
      <c r="N973" s="4">
        <v>565</v>
      </c>
      <c r="O973" s="4" t="str">
        <f t="shared" si="30"/>
        <v>EMI</v>
      </c>
      <c r="P973" s="5">
        <f t="shared" si="31"/>
        <v>99637.471999999994</v>
      </c>
    </row>
    <row r="974" spans="1:16" x14ac:dyDescent="0.25">
      <c r="A974" s="4">
        <v>2020</v>
      </c>
      <c r="B974" s="4">
        <v>4</v>
      </c>
      <c r="C974" s="12" t="s">
        <v>28</v>
      </c>
      <c r="D974" s="4" t="s">
        <v>27</v>
      </c>
      <c r="E974" s="4" t="s">
        <v>17</v>
      </c>
      <c r="F974" s="4" t="s">
        <v>25</v>
      </c>
      <c r="G974" s="5">
        <v>46049</v>
      </c>
      <c r="H974" s="5">
        <v>369064</v>
      </c>
      <c r="I974" s="4">
        <v>21</v>
      </c>
      <c r="J974" s="4">
        <v>0.97</v>
      </c>
      <c r="K974" s="4">
        <v>6.29</v>
      </c>
      <c r="L974" s="4">
        <v>1.2</v>
      </c>
      <c r="M974" s="4">
        <v>9</v>
      </c>
      <c r="N974" s="4">
        <v>96</v>
      </c>
      <c r="O974" s="4" t="str">
        <f t="shared" si="30"/>
        <v>EMI</v>
      </c>
      <c r="P974" s="5">
        <f t="shared" si="31"/>
        <v>46601.588000000003</v>
      </c>
    </row>
    <row r="975" spans="1:16" x14ac:dyDescent="0.25">
      <c r="A975" s="4">
        <v>2018</v>
      </c>
      <c r="B975" s="4">
        <v>7</v>
      </c>
      <c r="C975" s="12" t="s">
        <v>33</v>
      </c>
      <c r="D975" s="4" t="s">
        <v>16</v>
      </c>
      <c r="E975" s="4" t="s">
        <v>18</v>
      </c>
      <c r="F975" s="4" t="s">
        <v>18</v>
      </c>
      <c r="G975" s="5">
        <v>35786</v>
      </c>
      <c r="H975" s="5">
        <v>266398</v>
      </c>
      <c r="I975" s="4">
        <v>246</v>
      </c>
      <c r="J975" s="4">
        <v>0.97</v>
      </c>
      <c r="K975" s="4">
        <v>6.29</v>
      </c>
      <c r="L975" s="4">
        <v>1.2</v>
      </c>
      <c r="M975" s="4">
        <v>9</v>
      </c>
      <c r="N975" s="4">
        <v>575</v>
      </c>
      <c r="O975" s="4" t="str">
        <f t="shared" si="30"/>
        <v>EMI</v>
      </c>
      <c r="P975" s="5">
        <f t="shared" si="31"/>
        <v>36215.432000000001</v>
      </c>
    </row>
    <row r="976" spans="1:16" x14ac:dyDescent="0.25">
      <c r="A976" s="4">
        <v>2022</v>
      </c>
      <c r="B976" s="4">
        <v>4</v>
      </c>
      <c r="C976" s="12" t="s">
        <v>28</v>
      </c>
      <c r="D976" s="4" t="s">
        <v>27</v>
      </c>
      <c r="E976" s="4" t="s">
        <v>18</v>
      </c>
      <c r="F976" s="4" t="s">
        <v>21</v>
      </c>
      <c r="G976" s="5">
        <v>104904</v>
      </c>
      <c r="H976" s="5">
        <v>310464</v>
      </c>
      <c r="I976" s="4">
        <v>331</v>
      </c>
      <c r="J976" s="4">
        <v>0.97</v>
      </c>
      <c r="K976" s="4">
        <v>6.29</v>
      </c>
      <c r="L976" s="4">
        <v>1.2</v>
      </c>
      <c r="M976" s="4">
        <v>2</v>
      </c>
      <c r="N976" s="4">
        <v>968</v>
      </c>
      <c r="O976" s="4" t="str">
        <f t="shared" si="30"/>
        <v>Discount</v>
      </c>
      <c r="P976" s="5">
        <f t="shared" si="31"/>
        <v>94413.6</v>
      </c>
    </row>
    <row r="977" spans="1:16" x14ac:dyDescent="0.25">
      <c r="A977" s="4">
        <v>2018</v>
      </c>
      <c r="B977" s="4">
        <v>2</v>
      </c>
      <c r="C977" s="12" t="s">
        <v>23</v>
      </c>
      <c r="D977" s="4" t="s">
        <v>31</v>
      </c>
      <c r="E977" s="4" t="s">
        <v>14</v>
      </c>
      <c r="F977" s="4" t="s">
        <v>15</v>
      </c>
      <c r="G977" s="5">
        <v>65699</v>
      </c>
      <c r="H977" s="5">
        <v>463532</v>
      </c>
      <c r="I977" s="4">
        <v>267</v>
      </c>
      <c r="J977" s="4">
        <v>0.97</v>
      </c>
      <c r="K977" s="4">
        <v>6.29</v>
      </c>
      <c r="L977" s="4">
        <v>1.2</v>
      </c>
      <c r="M977" s="4">
        <v>9</v>
      </c>
      <c r="N977" s="4">
        <v>582</v>
      </c>
      <c r="O977" s="4" t="str">
        <f t="shared" si="30"/>
        <v>EMI</v>
      </c>
      <c r="P977" s="5">
        <f t="shared" si="31"/>
        <v>66487.388000000006</v>
      </c>
    </row>
    <row r="978" spans="1:16" x14ac:dyDescent="0.25">
      <c r="A978" s="4">
        <v>2022</v>
      </c>
      <c r="B978" s="4">
        <v>10</v>
      </c>
      <c r="C978" s="12" t="s">
        <v>26</v>
      </c>
      <c r="D978" s="4" t="s">
        <v>20</v>
      </c>
      <c r="E978" s="4" t="s">
        <v>17</v>
      </c>
      <c r="F978" s="4" t="s">
        <v>25</v>
      </c>
      <c r="G978" s="5">
        <v>82691</v>
      </c>
      <c r="H978" s="5">
        <v>207255</v>
      </c>
      <c r="I978" s="4">
        <v>346</v>
      </c>
      <c r="J978" s="4">
        <v>0.97</v>
      </c>
      <c r="K978" s="4">
        <v>6.29</v>
      </c>
      <c r="L978" s="4">
        <v>1.2</v>
      </c>
      <c r="M978" s="4">
        <v>7</v>
      </c>
      <c r="N978" s="4">
        <v>1124</v>
      </c>
      <c r="O978" s="4" t="str">
        <f t="shared" si="30"/>
        <v>EMI</v>
      </c>
      <c r="P978" s="5">
        <f t="shared" si="31"/>
        <v>83683.292000000001</v>
      </c>
    </row>
    <row r="979" spans="1:16" x14ac:dyDescent="0.25">
      <c r="A979" s="4">
        <v>2022</v>
      </c>
      <c r="B979" s="4">
        <v>12</v>
      </c>
      <c r="C979" s="12" t="s">
        <v>36</v>
      </c>
      <c r="D979" s="4" t="s">
        <v>27</v>
      </c>
      <c r="E979" s="4" t="s">
        <v>18</v>
      </c>
      <c r="F979" s="4" t="s">
        <v>25</v>
      </c>
      <c r="G979" s="5">
        <v>72040</v>
      </c>
      <c r="H979" s="5">
        <v>406004</v>
      </c>
      <c r="I979" s="4">
        <v>144</v>
      </c>
      <c r="J979" s="4">
        <v>0.97</v>
      </c>
      <c r="K979" s="4">
        <v>6.29</v>
      </c>
      <c r="L979" s="4">
        <v>1.2</v>
      </c>
      <c r="M979" s="4">
        <v>5</v>
      </c>
      <c r="N979" s="4">
        <v>697</v>
      </c>
      <c r="O979" s="4" t="str">
        <f t="shared" si="30"/>
        <v>EMI</v>
      </c>
      <c r="P979" s="5">
        <f t="shared" si="31"/>
        <v>72904.479999999996</v>
      </c>
    </row>
    <row r="980" spans="1:16" x14ac:dyDescent="0.25">
      <c r="A980" s="4">
        <v>2019</v>
      </c>
      <c r="B980" s="4">
        <v>7</v>
      </c>
      <c r="C980" s="12" t="s">
        <v>23</v>
      </c>
      <c r="D980" s="4" t="s">
        <v>31</v>
      </c>
      <c r="E980" s="4" t="s">
        <v>17</v>
      </c>
      <c r="F980" s="4" t="s">
        <v>18</v>
      </c>
      <c r="G980" s="5">
        <v>92986</v>
      </c>
      <c r="H980" s="5">
        <v>74624</v>
      </c>
      <c r="I980" s="4">
        <v>231</v>
      </c>
      <c r="J980" s="4">
        <v>0.97</v>
      </c>
      <c r="K980" s="4">
        <v>6.29</v>
      </c>
      <c r="L980" s="4">
        <v>1.2</v>
      </c>
      <c r="M980" s="4">
        <v>7</v>
      </c>
      <c r="N980" s="4">
        <v>704</v>
      </c>
      <c r="O980" s="4" t="str">
        <f t="shared" si="30"/>
        <v>EMI</v>
      </c>
      <c r="P980" s="5">
        <f t="shared" si="31"/>
        <v>94101.831999999995</v>
      </c>
    </row>
    <row r="981" spans="1:16" x14ac:dyDescent="0.25">
      <c r="A981" s="4">
        <v>2018</v>
      </c>
      <c r="B981" s="4">
        <v>8</v>
      </c>
      <c r="C981" s="12" t="s">
        <v>36</v>
      </c>
      <c r="D981" s="4" t="s">
        <v>31</v>
      </c>
      <c r="E981" s="4" t="s">
        <v>17</v>
      </c>
      <c r="F981" s="4" t="s">
        <v>21</v>
      </c>
      <c r="G981" s="5">
        <v>73762</v>
      </c>
      <c r="H981" s="5">
        <v>243587</v>
      </c>
      <c r="I981" s="4">
        <v>165</v>
      </c>
      <c r="J981" s="4">
        <v>0.97</v>
      </c>
      <c r="K981" s="4">
        <v>6.29</v>
      </c>
      <c r="L981" s="4">
        <v>1.2</v>
      </c>
      <c r="M981" s="4">
        <v>9</v>
      </c>
      <c r="N981" s="4">
        <v>332</v>
      </c>
      <c r="O981" s="4" t="str">
        <f t="shared" si="30"/>
        <v>EMI</v>
      </c>
      <c r="P981" s="5">
        <f t="shared" si="31"/>
        <v>74647.144</v>
      </c>
    </row>
    <row r="982" spans="1:16" x14ac:dyDescent="0.25">
      <c r="A982" s="4">
        <v>2016</v>
      </c>
      <c r="B982" s="4">
        <v>2</v>
      </c>
      <c r="C982" s="12" t="s">
        <v>23</v>
      </c>
      <c r="D982" s="4" t="s">
        <v>20</v>
      </c>
      <c r="E982" s="4" t="s">
        <v>14</v>
      </c>
      <c r="F982" s="4" t="s">
        <v>18</v>
      </c>
      <c r="G982" s="5">
        <v>58600</v>
      </c>
      <c r="H982" s="5">
        <v>284784</v>
      </c>
      <c r="I982" s="4">
        <v>151</v>
      </c>
      <c r="J982" s="4">
        <v>0.97</v>
      </c>
      <c r="K982" s="4">
        <v>6.29</v>
      </c>
      <c r="L982" s="4">
        <v>1.2</v>
      </c>
      <c r="M982" s="4">
        <v>8</v>
      </c>
      <c r="N982" s="4">
        <v>654</v>
      </c>
      <c r="O982" s="4" t="str">
        <f t="shared" si="30"/>
        <v>EMI</v>
      </c>
      <c r="P982" s="5">
        <f t="shared" si="31"/>
        <v>59303.199999999997</v>
      </c>
    </row>
    <row r="983" spans="1:16" x14ac:dyDescent="0.25">
      <c r="A983" s="4">
        <v>2017</v>
      </c>
      <c r="B983" s="4">
        <v>5</v>
      </c>
      <c r="C983" s="12" t="s">
        <v>28</v>
      </c>
      <c r="D983" s="4" t="s">
        <v>13</v>
      </c>
      <c r="E983" s="4" t="s">
        <v>17</v>
      </c>
      <c r="F983" s="4" t="s">
        <v>25</v>
      </c>
      <c r="G983" s="5">
        <v>54810</v>
      </c>
      <c r="H983" s="5">
        <v>96705</v>
      </c>
      <c r="I983" s="4">
        <v>167</v>
      </c>
      <c r="J983" s="4">
        <v>0.97</v>
      </c>
      <c r="K983" s="4">
        <v>6.29</v>
      </c>
      <c r="L983" s="4">
        <v>1.2</v>
      </c>
      <c r="M983" s="4">
        <v>6</v>
      </c>
      <c r="N983" s="4">
        <v>663</v>
      </c>
      <c r="O983" s="4" t="str">
        <f t="shared" si="30"/>
        <v>EMI</v>
      </c>
      <c r="P983" s="5">
        <f t="shared" si="31"/>
        <v>55467.72</v>
      </c>
    </row>
    <row r="984" spans="1:16" x14ac:dyDescent="0.25">
      <c r="A984" s="4">
        <v>2017</v>
      </c>
      <c r="B984" s="4">
        <v>1</v>
      </c>
      <c r="C984" s="12" t="s">
        <v>26</v>
      </c>
      <c r="D984" s="4" t="s">
        <v>16</v>
      </c>
      <c r="E984" s="4" t="s">
        <v>17</v>
      </c>
      <c r="F984" s="4" t="s">
        <v>21</v>
      </c>
      <c r="G984" s="5">
        <v>92204</v>
      </c>
      <c r="H984" s="5">
        <v>139326</v>
      </c>
      <c r="I984" s="4">
        <v>335</v>
      </c>
      <c r="J984" s="4">
        <v>0.97</v>
      </c>
      <c r="K984" s="4">
        <v>6.29</v>
      </c>
      <c r="L984" s="4">
        <v>1.2</v>
      </c>
      <c r="M984" s="4">
        <v>4</v>
      </c>
      <c r="N984" s="4">
        <v>698</v>
      </c>
      <c r="O984" s="4" t="str">
        <f t="shared" si="30"/>
        <v>EMI</v>
      </c>
      <c r="P984" s="5">
        <f t="shared" si="31"/>
        <v>93310.448000000004</v>
      </c>
    </row>
    <row r="985" spans="1:16" x14ac:dyDescent="0.25">
      <c r="A985" s="4">
        <v>2018</v>
      </c>
      <c r="B985" s="4">
        <v>7</v>
      </c>
      <c r="C985" s="12" t="s">
        <v>12</v>
      </c>
      <c r="D985" s="4" t="s">
        <v>29</v>
      </c>
      <c r="E985" s="4" t="s">
        <v>18</v>
      </c>
      <c r="F985" s="4" t="s">
        <v>15</v>
      </c>
      <c r="G985" s="5">
        <v>55085</v>
      </c>
      <c r="H985" s="5">
        <v>469972</v>
      </c>
      <c r="I985" s="4">
        <v>380</v>
      </c>
      <c r="J985" s="4">
        <v>0.97</v>
      </c>
      <c r="K985" s="4">
        <v>6.29</v>
      </c>
      <c r="L985" s="4">
        <v>1.2</v>
      </c>
      <c r="M985" s="4">
        <v>1</v>
      </c>
      <c r="N985" s="4">
        <v>880</v>
      </c>
      <c r="O985" s="4" t="str">
        <f t="shared" si="30"/>
        <v>Discount</v>
      </c>
      <c r="P985" s="5">
        <f t="shared" si="31"/>
        <v>49576.5</v>
      </c>
    </row>
    <row r="986" spans="1:16" x14ac:dyDescent="0.25">
      <c r="A986" s="4">
        <v>2018</v>
      </c>
      <c r="B986" s="4">
        <v>8</v>
      </c>
      <c r="C986" s="12" t="s">
        <v>35</v>
      </c>
      <c r="D986" s="4" t="s">
        <v>29</v>
      </c>
      <c r="E986" s="4" t="s">
        <v>14</v>
      </c>
      <c r="F986" s="4" t="s">
        <v>21</v>
      </c>
      <c r="G986" s="5">
        <v>81854</v>
      </c>
      <c r="H986" s="5">
        <v>372534</v>
      </c>
      <c r="I986" s="4">
        <v>353</v>
      </c>
      <c r="J986" s="4">
        <v>0.97</v>
      </c>
      <c r="K986" s="4">
        <v>6.29</v>
      </c>
      <c r="L986" s="4">
        <v>1.2</v>
      </c>
      <c r="M986" s="4">
        <v>6</v>
      </c>
      <c r="N986" s="4">
        <v>887</v>
      </c>
      <c r="O986" s="4" t="str">
        <f t="shared" si="30"/>
        <v>EMI</v>
      </c>
      <c r="P986" s="5">
        <f t="shared" si="31"/>
        <v>82836.248000000007</v>
      </c>
    </row>
    <row r="987" spans="1:16" x14ac:dyDescent="0.25">
      <c r="A987" s="4">
        <v>2024</v>
      </c>
      <c r="B987" s="4">
        <v>6</v>
      </c>
      <c r="C987" s="12" t="s">
        <v>30</v>
      </c>
      <c r="D987" s="4" t="s">
        <v>32</v>
      </c>
      <c r="E987" s="4" t="s">
        <v>17</v>
      </c>
      <c r="F987" s="4" t="s">
        <v>25</v>
      </c>
      <c r="G987" s="5">
        <v>109797</v>
      </c>
      <c r="H987" s="5">
        <v>118369</v>
      </c>
      <c r="I987" s="4">
        <v>271</v>
      </c>
      <c r="J987" s="4">
        <v>0.97</v>
      </c>
      <c r="K987" s="4">
        <v>6.29</v>
      </c>
      <c r="L987" s="4">
        <v>1.2</v>
      </c>
      <c r="M987" s="4">
        <v>3</v>
      </c>
      <c r="N987" s="4">
        <v>720</v>
      </c>
      <c r="O987" s="4" t="str">
        <f t="shared" si="30"/>
        <v>EMI</v>
      </c>
      <c r="P987" s="5">
        <f t="shared" si="31"/>
        <v>111114.564</v>
      </c>
    </row>
    <row r="988" spans="1:16" x14ac:dyDescent="0.25">
      <c r="A988" s="4">
        <v>2019</v>
      </c>
      <c r="B988" s="4">
        <v>5</v>
      </c>
      <c r="C988" s="12" t="s">
        <v>26</v>
      </c>
      <c r="D988" s="4" t="s">
        <v>32</v>
      </c>
      <c r="E988" s="4" t="s">
        <v>18</v>
      </c>
      <c r="F988" s="4" t="s">
        <v>15</v>
      </c>
      <c r="G988" s="5">
        <v>119269</v>
      </c>
      <c r="H988" s="5">
        <v>251893</v>
      </c>
      <c r="I988" s="4">
        <v>292</v>
      </c>
      <c r="J988" s="4">
        <v>0.97</v>
      </c>
      <c r="K988" s="4">
        <v>6.29</v>
      </c>
      <c r="L988" s="4">
        <v>1.2</v>
      </c>
      <c r="M988" s="4">
        <v>6</v>
      </c>
      <c r="N988" s="4">
        <v>910</v>
      </c>
      <c r="O988" s="4" t="str">
        <f t="shared" si="30"/>
        <v>EMI</v>
      </c>
      <c r="P988" s="5">
        <f t="shared" si="31"/>
        <v>120700.228</v>
      </c>
    </row>
    <row r="989" spans="1:16" x14ac:dyDescent="0.25">
      <c r="A989" s="4">
        <v>2018</v>
      </c>
      <c r="B989" s="4">
        <v>6</v>
      </c>
      <c r="C989" s="12" t="s">
        <v>12</v>
      </c>
      <c r="D989" s="4" t="s">
        <v>29</v>
      </c>
      <c r="E989" s="4" t="s">
        <v>14</v>
      </c>
      <c r="F989" s="4" t="s">
        <v>21</v>
      </c>
      <c r="G989" s="5">
        <v>74779</v>
      </c>
      <c r="H989" s="5">
        <v>321733</v>
      </c>
      <c r="I989" s="4">
        <v>347</v>
      </c>
      <c r="J989" s="4">
        <v>0.97</v>
      </c>
      <c r="K989" s="4">
        <v>6.29</v>
      </c>
      <c r="L989" s="4">
        <v>1.2</v>
      </c>
      <c r="M989" s="4">
        <v>6</v>
      </c>
      <c r="N989" s="4">
        <v>726</v>
      </c>
      <c r="O989" s="4" t="str">
        <f t="shared" si="30"/>
        <v>EMI</v>
      </c>
      <c r="P989" s="5">
        <f t="shared" si="31"/>
        <v>75676.347999999998</v>
      </c>
    </row>
    <row r="990" spans="1:16" x14ac:dyDescent="0.25">
      <c r="A990" s="4">
        <v>2024</v>
      </c>
      <c r="B990" s="4">
        <v>2</v>
      </c>
      <c r="C990" s="12" t="s">
        <v>19</v>
      </c>
      <c r="D990" s="4" t="s">
        <v>24</v>
      </c>
      <c r="E990" s="4" t="s">
        <v>14</v>
      </c>
      <c r="F990" s="4" t="s">
        <v>15</v>
      </c>
      <c r="G990" s="5">
        <v>91207</v>
      </c>
      <c r="H990" s="5">
        <v>163012</v>
      </c>
      <c r="I990" s="4">
        <v>353</v>
      </c>
      <c r="J990" s="4">
        <v>0.97</v>
      </c>
      <c r="K990" s="4">
        <v>6.29</v>
      </c>
      <c r="L990" s="4">
        <v>1.2</v>
      </c>
      <c r="M990" s="4">
        <v>4</v>
      </c>
      <c r="N990" s="4">
        <v>821</v>
      </c>
      <c r="O990" s="4" t="str">
        <f t="shared" si="30"/>
        <v>EMI</v>
      </c>
      <c r="P990" s="5">
        <f t="shared" si="31"/>
        <v>92301.483999999997</v>
      </c>
    </row>
    <row r="991" spans="1:16" x14ac:dyDescent="0.25">
      <c r="A991" s="4">
        <v>2022</v>
      </c>
      <c r="B991" s="4">
        <v>1</v>
      </c>
      <c r="C991" s="12" t="s">
        <v>23</v>
      </c>
      <c r="D991" s="4" t="s">
        <v>29</v>
      </c>
      <c r="E991" s="4" t="s">
        <v>18</v>
      </c>
      <c r="F991" s="4" t="s">
        <v>15</v>
      </c>
      <c r="G991" s="5">
        <v>68980</v>
      </c>
      <c r="H991" s="5">
        <v>457332</v>
      </c>
      <c r="I991" s="4">
        <v>238</v>
      </c>
      <c r="J991" s="4">
        <v>0.97</v>
      </c>
      <c r="K991" s="4">
        <v>6.29</v>
      </c>
      <c r="L991" s="4">
        <v>1.2</v>
      </c>
      <c r="M991" s="4">
        <v>2</v>
      </c>
      <c r="N991" s="4">
        <v>710</v>
      </c>
      <c r="O991" s="4" t="str">
        <f t="shared" si="30"/>
        <v>Discount</v>
      </c>
      <c r="P991" s="5">
        <f t="shared" si="31"/>
        <v>62082</v>
      </c>
    </row>
    <row r="992" spans="1:16" x14ac:dyDescent="0.25">
      <c r="A992" s="4">
        <v>2020</v>
      </c>
      <c r="B992" s="4">
        <v>7</v>
      </c>
      <c r="C992" s="12" t="s">
        <v>19</v>
      </c>
      <c r="D992" s="4" t="s">
        <v>32</v>
      </c>
      <c r="E992" s="4" t="s">
        <v>18</v>
      </c>
      <c r="F992" s="4" t="s">
        <v>25</v>
      </c>
      <c r="G992" s="5">
        <v>91117</v>
      </c>
      <c r="H992" s="5">
        <v>385325</v>
      </c>
      <c r="I992" s="4">
        <v>385</v>
      </c>
      <c r="J992" s="4">
        <v>0.97</v>
      </c>
      <c r="K992" s="4">
        <v>6.29</v>
      </c>
      <c r="L992" s="4">
        <v>1.2</v>
      </c>
      <c r="M992" s="4">
        <v>9</v>
      </c>
      <c r="N992" s="4">
        <v>1036</v>
      </c>
      <c r="O992" s="4" t="str">
        <f t="shared" si="30"/>
        <v>EMI</v>
      </c>
      <c r="P992" s="5">
        <f t="shared" si="31"/>
        <v>92210.403999999995</v>
      </c>
    </row>
    <row r="993" spans="1:16" x14ac:dyDescent="0.25">
      <c r="A993" s="4">
        <v>2020</v>
      </c>
      <c r="B993" s="4">
        <v>7</v>
      </c>
      <c r="C993" s="12" t="s">
        <v>12</v>
      </c>
      <c r="D993" s="4" t="s">
        <v>22</v>
      </c>
      <c r="E993" s="4" t="s">
        <v>18</v>
      </c>
      <c r="F993" s="4" t="s">
        <v>15</v>
      </c>
      <c r="G993" s="5">
        <v>49141</v>
      </c>
      <c r="H993" s="5">
        <v>225858</v>
      </c>
      <c r="I993" s="4">
        <v>289</v>
      </c>
      <c r="J993" s="4">
        <v>0.97</v>
      </c>
      <c r="K993" s="4">
        <v>6.29</v>
      </c>
      <c r="L993" s="4">
        <v>1.2</v>
      </c>
      <c r="M993" s="4">
        <v>2</v>
      </c>
      <c r="N993" s="4">
        <v>648</v>
      </c>
      <c r="O993" s="4" t="str">
        <f t="shared" si="30"/>
        <v>Full</v>
      </c>
      <c r="P993" s="5">
        <f t="shared" si="31"/>
        <v>49141</v>
      </c>
    </row>
    <row r="994" spans="1:16" x14ac:dyDescent="0.25">
      <c r="A994" s="4">
        <v>2022</v>
      </c>
      <c r="B994" s="4">
        <v>10</v>
      </c>
      <c r="C994" s="12" t="s">
        <v>26</v>
      </c>
      <c r="D994" s="4" t="s">
        <v>32</v>
      </c>
      <c r="E994" s="4" t="s">
        <v>18</v>
      </c>
      <c r="F994" s="4" t="s">
        <v>18</v>
      </c>
      <c r="G994" s="5">
        <v>44344</v>
      </c>
      <c r="H994" s="5">
        <v>275758</v>
      </c>
      <c r="I994" s="4">
        <v>367</v>
      </c>
      <c r="J994" s="4">
        <v>0.97</v>
      </c>
      <c r="K994" s="4">
        <v>6.29</v>
      </c>
      <c r="L994" s="4">
        <v>1.2</v>
      </c>
      <c r="M994" s="4">
        <v>3</v>
      </c>
      <c r="N994" s="4">
        <v>783</v>
      </c>
      <c r="O994" s="4" t="str">
        <f t="shared" si="30"/>
        <v>EMI</v>
      </c>
      <c r="P994" s="5">
        <f t="shared" si="31"/>
        <v>44876.127999999997</v>
      </c>
    </row>
    <row r="995" spans="1:16" x14ac:dyDescent="0.25">
      <c r="A995" s="4">
        <v>2021</v>
      </c>
      <c r="B995" s="4">
        <v>11</v>
      </c>
      <c r="C995" s="12" t="s">
        <v>23</v>
      </c>
      <c r="D995" s="4" t="s">
        <v>24</v>
      </c>
      <c r="E995" s="4" t="s">
        <v>18</v>
      </c>
      <c r="F995" s="4" t="s">
        <v>25</v>
      </c>
      <c r="G995" s="5">
        <v>50896</v>
      </c>
      <c r="H995" s="5">
        <v>173711</v>
      </c>
      <c r="I995" s="4">
        <v>299</v>
      </c>
      <c r="J995" s="4">
        <v>0.97</v>
      </c>
      <c r="K995" s="4">
        <v>6.29</v>
      </c>
      <c r="L995" s="4">
        <v>1.2</v>
      </c>
      <c r="M995" s="4">
        <v>10</v>
      </c>
      <c r="N995" s="4">
        <v>668</v>
      </c>
      <c r="O995" s="4" t="str">
        <f t="shared" si="30"/>
        <v>EMI</v>
      </c>
      <c r="P995" s="5">
        <f t="shared" si="31"/>
        <v>51506.752</v>
      </c>
    </row>
    <row r="996" spans="1:16" x14ac:dyDescent="0.25">
      <c r="A996" s="4">
        <v>2024</v>
      </c>
      <c r="B996" s="4">
        <v>10</v>
      </c>
      <c r="C996" s="12" t="s">
        <v>30</v>
      </c>
      <c r="D996" s="4" t="s">
        <v>16</v>
      </c>
      <c r="E996" s="4" t="s">
        <v>17</v>
      </c>
      <c r="F996" s="4" t="s">
        <v>18</v>
      </c>
      <c r="G996" s="5">
        <v>64813</v>
      </c>
      <c r="H996" s="5">
        <v>126425</v>
      </c>
      <c r="I996" s="4">
        <v>177</v>
      </c>
      <c r="J996" s="4">
        <v>0.97</v>
      </c>
      <c r="K996" s="4">
        <v>6.29</v>
      </c>
      <c r="L996" s="4">
        <v>1.2</v>
      </c>
      <c r="M996" s="4">
        <v>1</v>
      </c>
      <c r="N996" s="4">
        <v>570</v>
      </c>
      <c r="O996" s="4" t="str">
        <f t="shared" si="30"/>
        <v>Full</v>
      </c>
      <c r="P996" s="5">
        <f t="shared" si="31"/>
        <v>64813</v>
      </c>
    </row>
    <row r="997" spans="1:16" x14ac:dyDescent="0.25">
      <c r="A997" s="4">
        <v>2024</v>
      </c>
      <c r="B997" s="4">
        <v>2</v>
      </c>
      <c r="C997" s="12" t="s">
        <v>28</v>
      </c>
      <c r="D997" s="4" t="s">
        <v>29</v>
      </c>
      <c r="E997" s="4" t="s">
        <v>17</v>
      </c>
      <c r="F997" s="4" t="s">
        <v>15</v>
      </c>
      <c r="G997" s="5">
        <v>119431</v>
      </c>
      <c r="H997" s="5">
        <v>473502</v>
      </c>
      <c r="I997" s="4">
        <v>56</v>
      </c>
      <c r="J997" s="4">
        <v>0.97</v>
      </c>
      <c r="K997" s="4">
        <v>6.29</v>
      </c>
      <c r="L997" s="4">
        <v>1.2</v>
      </c>
      <c r="M997" s="4">
        <v>7</v>
      </c>
      <c r="N997" s="4">
        <v>433</v>
      </c>
      <c r="O997" s="4" t="str">
        <f t="shared" si="30"/>
        <v>EMI</v>
      </c>
      <c r="P997" s="5">
        <f t="shared" si="31"/>
        <v>120864.17200000001</v>
      </c>
    </row>
    <row r="998" spans="1:16" x14ac:dyDescent="0.25">
      <c r="A998" s="4">
        <v>2022</v>
      </c>
      <c r="B998" s="4">
        <v>2</v>
      </c>
      <c r="C998" s="12" t="s">
        <v>23</v>
      </c>
      <c r="D998" s="4" t="s">
        <v>20</v>
      </c>
      <c r="E998" s="4" t="s">
        <v>14</v>
      </c>
      <c r="F998" s="4" t="s">
        <v>18</v>
      </c>
      <c r="G998" s="5">
        <v>100679</v>
      </c>
      <c r="H998" s="5">
        <v>65994</v>
      </c>
      <c r="I998" s="4">
        <v>212</v>
      </c>
      <c r="J998" s="4">
        <v>0.97</v>
      </c>
      <c r="K998" s="4">
        <v>6.29</v>
      </c>
      <c r="L998" s="4">
        <v>1.2</v>
      </c>
      <c r="M998" s="4">
        <v>1</v>
      </c>
      <c r="N998" s="4">
        <v>614</v>
      </c>
      <c r="O998" s="4" t="str">
        <f t="shared" si="30"/>
        <v>Full</v>
      </c>
      <c r="P998" s="5">
        <f t="shared" si="31"/>
        <v>100679</v>
      </c>
    </row>
    <row r="999" spans="1:16" x14ac:dyDescent="0.25">
      <c r="A999" s="4">
        <v>2016</v>
      </c>
      <c r="B999" s="4">
        <v>1</v>
      </c>
      <c r="C999" s="12" t="s">
        <v>23</v>
      </c>
      <c r="D999" s="4" t="s">
        <v>22</v>
      </c>
      <c r="E999" s="4" t="s">
        <v>17</v>
      </c>
      <c r="F999" s="4" t="s">
        <v>21</v>
      </c>
      <c r="G999" s="5">
        <v>45681</v>
      </c>
      <c r="H999" s="5">
        <v>161915</v>
      </c>
      <c r="I999" s="4">
        <v>223</v>
      </c>
      <c r="J999" s="4">
        <v>0.97</v>
      </c>
      <c r="K999" s="4">
        <v>6.29</v>
      </c>
      <c r="L999" s="4">
        <v>1.2</v>
      </c>
      <c r="M999" s="4">
        <v>9</v>
      </c>
      <c r="N999" s="4">
        <v>511</v>
      </c>
      <c r="O999" s="4" t="str">
        <f t="shared" si="30"/>
        <v>EMI</v>
      </c>
      <c r="P999" s="5">
        <f t="shared" si="31"/>
        <v>46229.171999999999</v>
      </c>
    </row>
    <row r="1000" spans="1:16" x14ac:dyDescent="0.25">
      <c r="A1000" s="4">
        <v>2023</v>
      </c>
      <c r="B1000" s="4">
        <v>10</v>
      </c>
      <c r="C1000" s="12" t="s">
        <v>26</v>
      </c>
      <c r="D1000" s="4" t="s">
        <v>31</v>
      </c>
      <c r="E1000" s="4" t="s">
        <v>17</v>
      </c>
      <c r="F1000" s="4" t="s">
        <v>15</v>
      </c>
      <c r="G1000" s="5">
        <v>107903</v>
      </c>
      <c r="H1000" s="5">
        <v>435105</v>
      </c>
      <c r="I1000" s="4">
        <v>255</v>
      </c>
      <c r="J1000" s="4">
        <v>0.97</v>
      </c>
      <c r="K1000" s="4">
        <v>6.29</v>
      </c>
      <c r="L1000" s="4">
        <v>1.2</v>
      </c>
      <c r="M1000" s="4">
        <v>1</v>
      </c>
      <c r="N1000" s="4">
        <v>891</v>
      </c>
      <c r="O1000" s="4" t="str">
        <f t="shared" si="30"/>
        <v>Discount</v>
      </c>
      <c r="P1000" s="5">
        <f t="shared" si="31"/>
        <v>97112.7</v>
      </c>
    </row>
    <row r="1001" spans="1:16" hidden="1" x14ac:dyDescent="0.25">
      <c r="C1001" s="12"/>
      <c r="G1001" s="5"/>
      <c r="O1001" s="4" t="str">
        <f>IF(M1001&gt;2,"EMI",IF(H1001&gt;300000,"Discount","Full"))</f>
        <v>Full</v>
      </c>
      <c r="P1001" s="5">
        <f>IF(O1001="EMI", G1001*(1+L1001/100), IF(O1001="Full", G1001, G1001*0.9))</f>
        <v>0</v>
      </c>
    </row>
    <row r="1002" spans="1:16" x14ac:dyDescent="0.25">
      <c r="A1002" s="4">
        <v>2025</v>
      </c>
      <c r="B1002" s="4">
        <v>6</v>
      </c>
      <c r="C1002" s="4" t="s">
        <v>19</v>
      </c>
      <c r="D1002" s="4" t="s">
        <v>29</v>
      </c>
      <c r="E1002" s="4" t="s">
        <v>46</v>
      </c>
      <c r="F1002" s="4" t="s">
        <v>21</v>
      </c>
      <c r="G1002" s="5">
        <v>3049467</v>
      </c>
      <c r="H1002" s="5">
        <v>186293</v>
      </c>
      <c r="I1002" s="4">
        <v>56</v>
      </c>
      <c r="J1002" s="4">
        <v>1.3</v>
      </c>
      <c r="K1002" s="4">
        <v>3.28</v>
      </c>
      <c r="L1002" s="4">
        <v>5.64</v>
      </c>
      <c r="M1002" s="4">
        <v>5.3</v>
      </c>
      <c r="N1002" s="4">
        <v>757</v>
      </c>
      <c r="O1002" s="4" t="s">
        <v>47</v>
      </c>
      <c r="P1002" s="5">
        <v>2308446519</v>
      </c>
    </row>
    <row r="1003" spans="1:16" x14ac:dyDescent="0.25">
      <c r="A1003" s="4">
        <v>2026</v>
      </c>
      <c r="B1003" s="4">
        <v>3</v>
      </c>
      <c r="C1003" s="4" t="s">
        <v>19</v>
      </c>
      <c r="D1003" s="4" t="s">
        <v>24</v>
      </c>
      <c r="E1003" s="4" t="s">
        <v>48</v>
      </c>
      <c r="F1003" s="4" t="s">
        <v>25</v>
      </c>
      <c r="G1003" s="5">
        <v>1687633</v>
      </c>
      <c r="H1003" s="5">
        <v>429843</v>
      </c>
      <c r="I1003" s="4">
        <v>99</v>
      </c>
      <c r="J1003" s="4">
        <v>1.87</v>
      </c>
      <c r="K1003" s="4">
        <v>7.89</v>
      </c>
      <c r="L1003" s="4">
        <v>8.7899999999999991</v>
      </c>
      <c r="M1003" s="4">
        <v>5.15</v>
      </c>
      <c r="N1003" s="4">
        <v>727</v>
      </c>
      <c r="O1003" s="4" t="s">
        <v>47</v>
      </c>
      <c r="P1003" s="5">
        <v>1226909191</v>
      </c>
    </row>
    <row r="1004" spans="1:16" x14ac:dyDescent="0.25">
      <c r="A1004" s="4">
        <v>2026</v>
      </c>
      <c r="B1004" s="4">
        <v>3</v>
      </c>
      <c r="C1004" s="4" t="s">
        <v>28</v>
      </c>
      <c r="D1004" s="4" t="s">
        <v>32</v>
      </c>
      <c r="E1004" s="4" t="s">
        <v>46</v>
      </c>
      <c r="F1004" s="4" t="s">
        <v>21</v>
      </c>
      <c r="G1004" s="5">
        <v>4129289</v>
      </c>
      <c r="H1004" s="5">
        <v>412010</v>
      </c>
      <c r="I1004" s="4">
        <v>171</v>
      </c>
      <c r="J1004" s="4">
        <v>1.26</v>
      </c>
      <c r="K1004" s="4">
        <v>6.87</v>
      </c>
      <c r="L1004" s="4">
        <v>6.74</v>
      </c>
      <c r="M1004" s="4">
        <v>6.12</v>
      </c>
      <c r="N1004" s="4">
        <v>747</v>
      </c>
      <c r="O1004" s="4" t="s">
        <v>49</v>
      </c>
      <c r="P1004" s="5">
        <v>3084578883</v>
      </c>
    </row>
    <row r="1005" spans="1:16" x14ac:dyDescent="0.25">
      <c r="A1005" s="4">
        <v>2025</v>
      </c>
      <c r="B1005" s="4">
        <v>6</v>
      </c>
      <c r="C1005" s="4" t="s">
        <v>36</v>
      </c>
      <c r="D1005" s="4" t="s">
        <v>37</v>
      </c>
      <c r="E1005" s="4" t="s">
        <v>48</v>
      </c>
      <c r="F1005" s="4" t="s">
        <v>25</v>
      </c>
      <c r="G1005" s="5">
        <v>4096806</v>
      </c>
      <c r="H1005" s="5">
        <v>196591</v>
      </c>
      <c r="I1005" s="4">
        <v>152</v>
      </c>
      <c r="J1005" s="4">
        <v>1.68</v>
      </c>
      <c r="K1005" s="4">
        <v>4.8</v>
      </c>
      <c r="L1005" s="4">
        <v>6.62</v>
      </c>
      <c r="M1005" s="4">
        <v>7.28</v>
      </c>
      <c r="N1005" s="4">
        <v>538</v>
      </c>
      <c r="O1005" s="4" t="s">
        <v>47</v>
      </c>
      <c r="P1005" s="5">
        <v>2204081628</v>
      </c>
    </row>
    <row r="1006" spans="1:16" x14ac:dyDescent="0.25">
      <c r="A1006" s="4">
        <v>2026</v>
      </c>
      <c r="B1006" s="4">
        <v>3</v>
      </c>
      <c r="C1006" s="4" t="s">
        <v>28</v>
      </c>
      <c r="D1006" s="4" t="s">
        <v>32</v>
      </c>
      <c r="E1006" s="4" t="s">
        <v>46</v>
      </c>
      <c r="F1006" s="4" t="s">
        <v>18</v>
      </c>
      <c r="G1006" s="5">
        <v>3936594</v>
      </c>
      <c r="H1006" s="5">
        <v>282883</v>
      </c>
      <c r="I1006" s="4">
        <v>73</v>
      </c>
      <c r="J1006" s="4">
        <v>1.33</v>
      </c>
      <c r="K1006" s="4">
        <v>3.19</v>
      </c>
      <c r="L1006" s="4">
        <v>7.81</v>
      </c>
      <c r="M1006" s="4">
        <v>9.6300000000000008</v>
      </c>
      <c r="N1006" s="4">
        <v>141</v>
      </c>
      <c r="O1006" s="4" t="s">
        <v>47</v>
      </c>
      <c r="P1006" s="5">
        <v>555059754</v>
      </c>
    </row>
    <row r="1007" spans="1:16" x14ac:dyDescent="0.25">
      <c r="A1007" s="4">
        <v>2026</v>
      </c>
      <c r="B1007" s="4">
        <v>1</v>
      </c>
      <c r="C1007" s="4" t="s">
        <v>28</v>
      </c>
      <c r="D1007" s="4" t="s">
        <v>16</v>
      </c>
      <c r="E1007" s="4" t="s">
        <v>48</v>
      </c>
      <c r="F1007" s="4" t="s">
        <v>18</v>
      </c>
      <c r="G1007" s="5">
        <v>4083812</v>
      </c>
      <c r="H1007" s="5">
        <v>109359</v>
      </c>
      <c r="I1007" s="4">
        <v>168</v>
      </c>
      <c r="J1007" s="4">
        <v>1.24</v>
      </c>
      <c r="K1007" s="4">
        <v>3.79</v>
      </c>
      <c r="L1007" s="4">
        <v>4.66</v>
      </c>
      <c r="M1007" s="4">
        <v>6.91</v>
      </c>
      <c r="N1007" s="4">
        <v>230</v>
      </c>
      <c r="O1007" s="4" t="s">
        <v>47</v>
      </c>
      <c r="P1007" s="5">
        <v>939276760</v>
      </c>
    </row>
    <row r="1008" spans="1:16" x14ac:dyDescent="0.25">
      <c r="A1008" s="4">
        <v>2026</v>
      </c>
      <c r="B1008" s="4">
        <v>2</v>
      </c>
      <c r="C1008" s="4" t="s">
        <v>28</v>
      </c>
      <c r="D1008" s="4" t="s">
        <v>16</v>
      </c>
      <c r="E1008" s="4" t="s">
        <v>48</v>
      </c>
      <c r="F1008" s="4" t="s">
        <v>25</v>
      </c>
      <c r="G1008" s="5">
        <v>2593119</v>
      </c>
      <c r="H1008" s="5">
        <v>333138</v>
      </c>
      <c r="I1008" s="4">
        <v>56</v>
      </c>
      <c r="J1008" s="4">
        <v>1.1000000000000001</v>
      </c>
      <c r="K1008" s="4">
        <v>7.88</v>
      </c>
      <c r="L1008" s="4">
        <v>6.81</v>
      </c>
      <c r="M1008" s="4">
        <v>9.7899999999999991</v>
      </c>
      <c r="N1008" s="4">
        <v>247</v>
      </c>
      <c r="O1008" s="4" t="s">
        <v>47</v>
      </c>
      <c r="P1008" s="5">
        <v>640500393</v>
      </c>
    </row>
    <row r="1009" spans="1:16" x14ac:dyDescent="0.25">
      <c r="A1009" s="4">
        <v>2026</v>
      </c>
      <c r="B1009" s="4">
        <v>2</v>
      </c>
      <c r="C1009" s="4" t="s">
        <v>30</v>
      </c>
      <c r="D1009" s="4" t="s">
        <v>29</v>
      </c>
      <c r="E1009" s="4" t="s">
        <v>46</v>
      </c>
      <c r="F1009" s="4" t="s">
        <v>18</v>
      </c>
      <c r="G1009" s="5">
        <v>2108554</v>
      </c>
      <c r="H1009" s="5">
        <v>398367</v>
      </c>
      <c r="I1009" s="4">
        <v>43</v>
      </c>
      <c r="J1009" s="4">
        <v>1.48</v>
      </c>
      <c r="K1009" s="4">
        <v>6.44</v>
      </c>
      <c r="L1009" s="4">
        <v>9.2799999999999994</v>
      </c>
      <c r="M1009" s="4">
        <v>9.26</v>
      </c>
      <c r="N1009" s="4">
        <v>420</v>
      </c>
      <c r="O1009" s="4" t="s">
        <v>47</v>
      </c>
      <c r="P1009" s="5">
        <v>885592680</v>
      </c>
    </row>
    <row r="1010" spans="1:16" x14ac:dyDescent="0.25">
      <c r="A1010" s="4">
        <v>2025</v>
      </c>
      <c r="B1010" s="4">
        <v>4</v>
      </c>
      <c r="C1010" s="4" t="s">
        <v>34</v>
      </c>
      <c r="D1010" s="4" t="s">
        <v>22</v>
      </c>
      <c r="E1010" s="4" t="s">
        <v>48</v>
      </c>
      <c r="F1010" s="4" t="s">
        <v>25</v>
      </c>
      <c r="G1010" s="5">
        <v>3837966</v>
      </c>
      <c r="H1010" s="5">
        <v>136950</v>
      </c>
      <c r="I1010" s="4">
        <v>63</v>
      </c>
      <c r="J1010" s="4">
        <v>1.01</v>
      </c>
      <c r="K1010" s="4">
        <v>7.21</v>
      </c>
      <c r="L1010" s="4">
        <v>7.88</v>
      </c>
      <c r="M1010" s="4">
        <v>8.57</v>
      </c>
      <c r="N1010" s="4">
        <v>91</v>
      </c>
      <c r="O1010" s="4" t="s">
        <v>49</v>
      </c>
      <c r="P1010" s="5">
        <v>349254906</v>
      </c>
    </row>
    <row r="1011" spans="1:16" x14ac:dyDescent="0.25">
      <c r="A1011" s="4">
        <v>2026</v>
      </c>
      <c r="B1011" s="4">
        <v>3</v>
      </c>
      <c r="C1011" s="4" t="s">
        <v>28</v>
      </c>
      <c r="D1011" s="4" t="s">
        <v>16</v>
      </c>
      <c r="E1011" s="4" t="s">
        <v>48</v>
      </c>
      <c r="F1011" s="4" t="s">
        <v>25</v>
      </c>
      <c r="G1011" s="5">
        <v>3275192</v>
      </c>
      <c r="H1011" s="5">
        <v>343998</v>
      </c>
      <c r="I1011" s="4">
        <v>44</v>
      </c>
      <c r="J1011" s="4">
        <v>1.68</v>
      </c>
      <c r="K1011" s="4">
        <v>4.3499999999999996</v>
      </c>
      <c r="L1011" s="4">
        <v>8.41</v>
      </c>
      <c r="M1011" s="4">
        <v>9.66</v>
      </c>
      <c r="N1011" s="4">
        <v>494</v>
      </c>
      <c r="O1011" s="4" t="s">
        <v>49</v>
      </c>
      <c r="P1011" s="5">
        <v>1617944848</v>
      </c>
    </row>
    <row r="1012" spans="1:16" x14ac:dyDescent="0.25">
      <c r="A1012" s="4">
        <v>2025</v>
      </c>
      <c r="B1012" s="4">
        <v>4</v>
      </c>
      <c r="C1012" s="4" t="s">
        <v>30</v>
      </c>
      <c r="D1012" s="4" t="s">
        <v>24</v>
      </c>
      <c r="E1012" s="4" t="s">
        <v>48</v>
      </c>
      <c r="F1012" s="4" t="s">
        <v>15</v>
      </c>
      <c r="G1012" s="5">
        <v>1870328</v>
      </c>
      <c r="H1012" s="5">
        <v>107997</v>
      </c>
      <c r="I1012" s="4">
        <v>34</v>
      </c>
      <c r="J1012" s="4">
        <v>1.45</v>
      </c>
      <c r="K1012" s="4">
        <v>7.89</v>
      </c>
      <c r="L1012" s="4">
        <v>4.7</v>
      </c>
      <c r="M1012" s="4">
        <v>7.9</v>
      </c>
      <c r="N1012" s="4">
        <v>230</v>
      </c>
      <c r="O1012" s="4" t="s">
        <v>47</v>
      </c>
      <c r="P1012" s="5">
        <v>430175440</v>
      </c>
    </row>
    <row r="1013" spans="1:16" x14ac:dyDescent="0.25">
      <c r="A1013" s="4">
        <v>2026</v>
      </c>
      <c r="B1013" s="4">
        <v>1</v>
      </c>
      <c r="C1013" s="4" t="s">
        <v>19</v>
      </c>
      <c r="D1013" s="4" t="s">
        <v>29</v>
      </c>
      <c r="E1013" s="4" t="s">
        <v>46</v>
      </c>
      <c r="F1013" s="4" t="s">
        <v>15</v>
      </c>
      <c r="G1013" s="5">
        <v>3885213</v>
      </c>
      <c r="H1013" s="5">
        <v>248412</v>
      </c>
      <c r="I1013" s="4">
        <v>141</v>
      </c>
      <c r="J1013" s="4">
        <v>1.5</v>
      </c>
      <c r="K1013" s="4">
        <v>7.78</v>
      </c>
      <c r="L1013" s="4">
        <v>7.86</v>
      </c>
      <c r="M1013" s="4">
        <v>4.8099999999999996</v>
      </c>
      <c r="N1013" s="4">
        <v>199</v>
      </c>
      <c r="O1013" s="4" t="s">
        <v>47</v>
      </c>
      <c r="P1013" s="5">
        <v>773157387</v>
      </c>
    </row>
    <row r="1014" spans="1:16" x14ac:dyDescent="0.25">
      <c r="A1014" s="4">
        <v>2026</v>
      </c>
      <c r="B1014" s="4">
        <v>2</v>
      </c>
      <c r="C1014" s="4" t="s">
        <v>28</v>
      </c>
      <c r="D1014" s="4" t="s">
        <v>13</v>
      </c>
      <c r="E1014" s="4" t="s">
        <v>50</v>
      </c>
      <c r="F1014" s="4" t="s">
        <v>15</v>
      </c>
      <c r="G1014" s="5">
        <v>4208341</v>
      </c>
      <c r="H1014" s="5">
        <v>204489</v>
      </c>
      <c r="I1014" s="4">
        <v>38</v>
      </c>
      <c r="J1014" s="4">
        <v>1.88</v>
      </c>
      <c r="K1014" s="4">
        <v>3.51</v>
      </c>
      <c r="L1014" s="4">
        <v>4.55</v>
      </c>
      <c r="M1014" s="4">
        <v>4.1900000000000004</v>
      </c>
      <c r="N1014" s="4">
        <v>337</v>
      </c>
      <c r="O1014" s="4" t="s">
        <v>47</v>
      </c>
      <c r="P1014" s="5">
        <v>1418210917</v>
      </c>
    </row>
    <row r="1015" spans="1:16" x14ac:dyDescent="0.25">
      <c r="A1015" s="4">
        <v>2026</v>
      </c>
      <c r="B1015" s="4">
        <v>3</v>
      </c>
      <c r="C1015" s="4" t="s">
        <v>34</v>
      </c>
      <c r="D1015" s="4" t="s">
        <v>24</v>
      </c>
      <c r="E1015" s="4" t="s">
        <v>48</v>
      </c>
      <c r="F1015" s="4" t="s">
        <v>21</v>
      </c>
      <c r="G1015" s="5">
        <v>3740952</v>
      </c>
      <c r="H1015" s="5">
        <v>222627</v>
      </c>
      <c r="I1015" s="4">
        <v>55</v>
      </c>
      <c r="J1015" s="4">
        <v>1.89</v>
      </c>
      <c r="K1015" s="4">
        <v>7.03</v>
      </c>
      <c r="L1015" s="4">
        <v>8.2200000000000006</v>
      </c>
      <c r="M1015" s="4">
        <v>1.9</v>
      </c>
      <c r="N1015" s="4">
        <v>117</v>
      </c>
      <c r="O1015" s="4" t="s">
        <v>49</v>
      </c>
      <c r="P1015" s="5">
        <v>437691384</v>
      </c>
    </row>
    <row r="1016" spans="1:16" x14ac:dyDescent="0.25">
      <c r="A1016" s="4">
        <v>2025</v>
      </c>
      <c r="B1016" s="4">
        <v>11</v>
      </c>
      <c r="C1016" s="4" t="s">
        <v>36</v>
      </c>
      <c r="D1016" s="4" t="s">
        <v>13</v>
      </c>
      <c r="E1016" s="4" t="s">
        <v>50</v>
      </c>
      <c r="F1016" s="4" t="s">
        <v>21</v>
      </c>
      <c r="G1016" s="5">
        <v>4236523</v>
      </c>
      <c r="H1016" s="5">
        <v>459912</v>
      </c>
      <c r="I1016" s="4">
        <v>22</v>
      </c>
      <c r="J1016" s="4">
        <v>1.51</v>
      </c>
      <c r="K1016" s="4">
        <v>3.83</v>
      </c>
      <c r="L1016" s="4">
        <v>8.67</v>
      </c>
      <c r="M1016" s="4">
        <v>8.7799999999999994</v>
      </c>
      <c r="N1016" s="4">
        <v>471</v>
      </c>
      <c r="O1016" s="4" t="s">
        <v>47</v>
      </c>
      <c r="P1016" s="5">
        <v>1995402333</v>
      </c>
    </row>
    <row r="1017" spans="1:16" x14ac:dyDescent="0.25">
      <c r="A1017" s="4">
        <v>2026</v>
      </c>
      <c r="B1017" s="4">
        <v>2</v>
      </c>
      <c r="C1017" s="4" t="s">
        <v>34</v>
      </c>
      <c r="D1017" s="4" t="s">
        <v>27</v>
      </c>
      <c r="E1017" s="4" t="s">
        <v>48</v>
      </c>
      <c r="F1017" s="4" t="s">
        <v>15</v>
      </c>
      <c r="G1017" s="5">
        <v>1500713</v>
      </c>
      <c r="H1017" s="5">
        <v>175523</v>
      </c>
      <c r="I1017" s="4">
        <v>51</v>
      </c>
      <c r="J1017" s="4">
        <v>1.02</v>
      </c>
      <c r="K1017" s="4">
        <v>4.1500000000000004</v>
      </c>
      <c r="L1017" s="4">
        <v>8.59</v>
      </c>
      <c r="M1017" s="4">
        <v>9.5</v>
      </c>
      <c r="N1017" s="4">
        <v>780</v>
      </c>
      <c r="O1017" s="4" t="s">
        <v>47</v>
      </c>
      <c r="P1017" s="5">
        <v>1170556140</v>
      </c>
    </row>
    <row r="1018" spans="1:16" x14ac:dyDescent="0.25">
      <c r="A1018" s="4">
        <v>2025</v>
      </c>
      <c r="B1018" s="4">
        <v>3</v>
      </c>
      <c r="C1018" s="4" t="s">
        <v>28</v>
      </c>
      <c r="D1018" s="4" t="s">
        <v>31</v>
      </c>
      <c r="E1018" s="4" t="s">
        <v>48</v>
      </c>
      <c r="F1018" s="4" t="s">
        <v>21</v>
      </c>
      <c r="G1018" s="5">
        <v>4140520</v>
      </c>
      <c r="H1018" s="5">
        <v>409538</v>
      </c>
      <c r="I1018" s="4">
        <v>146</v>
      </c>
      <c r="J1018" s="4">
        <v>1.35</v>
      </c>
      <c r="K1018" s="4">
        <v>7.64</v>
      </c>
      <c r="L1018" s="4">
        <v>8.23</v>
      </c>
      <c r="M1018" s="4">
        <v>1.29</v>
      </c>
      <c r="N1018" s="4">
        <v>86</v>
      </c>
      <c r="O1018" s="4" t="s">
        <v>49</v>
      </c>
      <c r="P1018" s="5">
        <v>356084720</v>
      </c>
    </row>
    <row r="1019" spans="1:16" x14ac:dyDescent="0.25">
      <c r="A1019" s="4">
        <v>2026</v>
      </c>
      <c r="B1019" s="4">
        <v>1</v>
      </c>
      <c r="C1019" s="4" t="s">
        <v>30</v>
      </c>
      <c r="D1019" s="4" t="s">
        <v>24</v>
      </c>
      <c r="E1019" s="4" t="s">
        <v>48</v>
      </c>
      <c r="F1019" s="4" t="s">
        <v>21</v>
      </c>
      <c r="G1019" s="5">
        <v>1697200</v>
      </c>
      <c r="H1019" s="5">
        <v>157852</v>
      </c>
      <c r="I1019" s="4">
        <v>55</v>
      </c>
      <c r="J1019" s="4">
        <v>1.86</v>
      </c>
      <c r="K1019" s="4">
        <v>6.75</v>
      </c>
      <c r="L1019" s="4">
        <v>9.7899999999999991</v>
      </c>
      <c r="M1019" s="4">
        <v>5.99</v>
      </c>
      <c r="N1019" s="4">
        <v>587</v>
      </c>
      <c r="O1019" s="4" t="s">
        <v>49</v>
      </c>
      <c r="P1019" s="5">
        <v>996256400</v>
      </c>
    </row>
    <row r="1020" spans="1:16" x14ac:dyDescent="0.25">
      <c r="A1020" s="4">
        <v>2026</v>
      </c>
      <c r="B1020" s="4">
        <v>3</v>
      </c>
      <c r="C1020" s="4" t="s">
        <v>30</v>
      </c>
      <c r="D1020" s="4" t="s">
        <v>37</v>
      </c>
      <c r="E1020" s="4" t="s">
        <v>48</v>
      </c>
      <c r="F1020" s="4" t="s">
        <v>25</v>
      </c>
      <c r="G1020" s="5">
        <v>4825085</v>
      </c>
      <c r="H1020" s="5">
        <v>460871</v>
      </c>
      <c r="I1020" s="4">
        <v>59</v>
      </c>
      <c r="J1020" s="4">
        <v>1.06</v>
      </c>
      <c r="K1020" s="4">
        <v>5.17</v>
      </c>
      <c r="L1020" s="4">
        <v>5.87</v>
      </c>
      <c r="M1020" s="4">
        <v>7.27</v>
      </c>
      <c r="N1020" s="4">
        <v>372</v>
      </c>
      <c r="O1020" s="4" t="s">
        <v>47</v>
      </c>
      <c r="P1020" s="5">
        <v>1794931620</v>
      </c>
    </row>
    <row r="1021" spans="1:16" x14ac:dyDescent="0.25">
      <c r="A1021" s="4">
        <v>2026</v>
      </c>
      <c r="B1021" s="4">
        <v>2</v>
      </c>
      <c r="C1021" s="4" t="s">
        <v>19</v>
      </c>
      <c r="D1021" s="4" t="s">
        <v>27</v>
      </c>
      <c r="E1021" s="4" t="s">
        <v>48</v>
      </c>
      <c r="F1021" s="4" t="s">
        <v>18</v>
      </c>
      <c r="G1021" s="5">
        <v>4422293</v>
      </c>
      <c r="H1021" s="5">
        <v>458880</v>
      </c>
      <c r="I1021" s="4">
        <v>93</v>
      </c>
      <c r="J1021" s="4">
        <v>1.61</v>
      </c>
      <c r="K1021" s="4">
        <v>6.57</v>
      </c>
      <c r="L1021" s="4">
        <v>6.82</v>
      </c>
      <c r="M1021" s="4">
        <v>5.0999999999999996</v>
      </c>
      <c r="N1021" s="4">
        <v>251</v>
      </c>
      <c r="O1021" s="4" t="s">
        <v>49</v>
      </c>
      <c r="P1021" s="5">
        <v>1109995543</v>
      </c>
    </row>
    <row r="1022" spans="1:16" x14ac:dyDescent="0.25">
      <c r="A1022" s="4">
        <v>2025</v>
      </c>
      <c r="B1022" s="4">
        <v>5</v>
      </c>
      <c r="C1022" s="4" t="s">
        <v>30</v>
      </c>
      <c r="D1022" s="4" t="s">
        <v>24</v>
      </c>
      <c r="E1022" s="4" t="s">
        <v>48</v>
      </c>
      <c r="F1022" s="4" t="s">
        <v>21</v>
      </c>
      <c r="G1022" s="5">
        <v>3231604</v>
      </c>
      <c r="H1022" s="5">
        <v>276264</v>
      </c>
      <c r="I1022" s="4">
        <v>111</v>
      </c>
      <c r="J1022" s="4">
        <v>1.32</v>
      </c>
      <c r="K1022" s="4">
        <v>5.6</v>
      </c>
      <c r="L1022" s="4">
        <v>4</v>
      </c>
      <c r="M1022" s="4">
        <v>3.81</v>
      </c>
      <c r="N1022" s="4">
        <v>241</v>
      </c>
      <c r="O1022" s="4" t="s">
        <v>47</v>
      </c>
      <c r="P1022" s="5">
        <v>778816564</v>
      </c>
    </row>
    <row r="1023" spans="1:16" x14ac:dyDescent="0.25">
      <c r="A1023" s="4">
        <v>2026</v>
      </c>
      <c r="B1023" s="4">
        <v>3</v>
      </c>
      <c r="C1023" s="4" t="s">
        <v>36</v>
      </c>
      <c r="D1023" s="4" t="s">
        <v>20</v>
      </c>
      <c r="E1023" s="4" t="s">
        <v>48</v>
      </c>
      <c r="F1023" s="4" t="s">
        <v>15</v>
      </c>
      <c r="G1023" s="5">
        <v>1624440</v>
      </c>
      <c r="H1023" s="5">
        <v>408000</v>
      </c>
      <c r="I1023" s="4">
        <v>190</v>
      </c>
      <c r="J1023" s="4">
        <v>1.88</v>
      </c>
      <c r="K1023" s="4">
        <v>4.57</v>
      </c>
      <c r="L1023" s="4">
        <v>9.74</v>
      </c>
      <c r="M1023" s="4">
        <v>5.25</v>
      </c>
      <c r="N1023" s="4">
        <v>765</v>
      </c>
      <c r="O1023" s="4" t="s">
        <v>49</v>
      </c>
      <c r="P1023" s="5">
        <v>1242696600</v>
      </c>
    </row>
    <row r="1024" spans="1:16" x14ac:dyDescent="0.25">
      <c r="A1024" s="4">
        <v>2026</v>
      </c>
      <c r="B1024" s="4">
        <v>1</v>
      </c>
      <c r="C1024" s="4" t="s">
        <v>30</v>
      </c>
      <c r="D1024" s="4" t="s">
        <v>37</v>
      </c>
      <c r="E1024" s="4" t="s">
        <v>48</v>
      </c>
      <c r="F1024" s="4" t="s">
        <v>15</v>
      </c>
      <c r="G1024" s="5">
        <v>3741184</v>
      </c>
      <c r="H1024" s="5">
        <v>139335</v>
      </c>
      <c r="I1024" s="4">
        <v>112</v>
      </c>
      <c r="J1024" s="4">
        <v>1.67</v>
      </c>
      <c r="K1024" s="4">
        <v>4.38</v>
      </c>
      <c r="L1024" s="4">
        <v>5.05</v>
      </c>
      <c r="M1024" s="4">
        <v>7.34</v>
      </c>
      <c r="N1024" s="4">
        <v>186</v>
      </c>
      <c r="O1024" s="4" t="s">
        <v>47</v>
      </c>
      <c r="P1024" s="5">
        <v>695860224</v>
      </c>
    </row>
    <row r="1025" spans="1:16" x14ac:dyDescent="0.25">
      <c r="A1025" s="4">
        <v>2026</v>
      </c>
      <c r="B1025" s="4">
        <v>3</v>
      </c>
      <c r="C1025" s="4" t="s">
        <v>34</v>
      </c>
      <c r="D1025" s="4" t="s">
        <v>37</v>
      </c>
      <c r="E1025" s="4" t="s">
        <v>48</v>
      </c>
      <c r="F1025" s="4" t="s">
        <v>21</v>
      </c>
      <c r="G1025" s="5">
        <v>2159411</v>
      </c>
      <c r="H1025" s="5">
        <v>249303</v>
      </c>
      <c r="I1025" s="4">
        <v>38</v>
      </c>
      <c r="J1025" s="4">
        <v>1.75</v>
      </c>
      <c r="K1025" s="4">
        <v>3.46</v>
      </c>
      <c r="L1025" s="4">
        <v>5.3</v>
      </c>
      <c r="M1025" s="4">
        <v>7.74</v>
      </c>
      <c r="N1025" s="4">
        <v>720</v>
      </c>
      <c r="O1025" s="4" t="s">
        <v>47</v>
      </c>
      <c r="P1025" s="5">
        <v>1554775920</v>
      </c>
    </row>
    <row r="1026" spans="1:16" x14ac:dyDescent="0.25">
      <c r="A1026" s="4">
        <v>2025</v>
      </c>
      <c r="B1026" s="4">
        <v>11</v>
      </c>
      <c r="C1026" s="4" t="s">
        <v>36</v>
      </c>
      <c r="D1026" s="4" t="s">
        <v>16</v>
      </c>
      <c r="E1026" s="4" t="s">
        <v>48</v>
      </c>
      <c r="F1026" s="4" t="s">
        <v>25</v>
      </c>
      <c r="G1026" s="5">
        <v>3352938</v>
      </c>
      <c r="H1026" s="5">
        <v>410137</v>
      </c>
      <c r="I1026" s="4">
        <v>90</v>
      </c>
      <c r="J1026" s="4">
        <v>1.93</v>
      </c>
      <c r="K1026" s="4">
        <v>6.35</v>
      </c>
      <c r="L1026" s="4">
        <v>8.7100000000000009</v>
      </c>
      <c r="M1026" s="4">
        <v>3.54</v>
      </c>
      <c r="N1026" s="4">
        <v>251</v>
      </c>
      <c r="O1026" s="4" t="s">
        <v>49</v>
      </c>
      <c r="P1026" s="5">
        <v>841587438</v>
      </c>
    </row>
    <row r="1027" spans="1:16" x14ac:dyDescent="0.25">
      <c r="A1027" s="4">
        <v>2025</v>
      </c>
      <c r="B1027" s="4">
        <v>10</v>
      </c>
      <c r="C1027" s="4" t="s">
        <v>36</v>
      </c>
      <c r="D1027" s="4" t="s">
        <v>24</v>
      </c>
      <c r="E1027" s="4" t="s">
        <v>48</v>
      </c>
      <c r="F1027" s="4" t="s">
        <v>25</v>
      </c>
      <c r="G1027" s="5">
        <v>2384867</v>
      </c>
      <c r="H1027" s="5">
        <v>181858</v>
      </c>
      <c r="I1027" s="4">
        <v>80</v>
      </c>
      <c r="J1027" s="4">
        <v>1.46</v>
      </c>
      <c r="K1027" s="4">
        <v>7.39</v>
      </c>
      <c r="L1027" s="4">
        <v>6.95</v>
      </c>
      <c r="M1027" s="4">
        <v>7.44</v>
      </c>
      <c r="N1027" s="4">
        <v>259</v>
      </c>
      <c r="O1027" s="4" t="s">
        <v>49</v>
      </c>
      <c r="P1027" s="5">
        <v>617680553</v>
      </c>
    </row>
    <row r="1028" spans="1:16" x14ac:dyDescent="0.25">
      <c r="A1028" s="4">
        <v>2026</v>
      </c>
      <c r="B1028" s="4">
        <v>3</v>
      </c>
      <c r="C1028" s="4" t="s">
        <v>19</v>
      </c>
      <c r="D1028" s="4" t="s">
        <v>13</v>
      </c>
      <c r="E1028" s="4" t="s">
        <v>50</v>
      </c>
      <c r="F1028" s="4" t="s">
        <v>21</v>
      </c>
      <c r="G1028" s="5">
        <v>1021337</v>
      </c>
      <c r="H1028" s="5">
        <v>328763</v>
      </c>
      <c r="I1028" s="4">
        <v>49</v>
      </c>
      <c r="J1028" s="4">
        <v>1.35</v>
      </c>
      <c r="K1028" s="4">
        <v>3.74</v>
      </c>
      <c r="L1028" s="4">
        <v>9.89</v>
      </c>
      <c r="M1028" s="4">
        <v>5.31</v>
      </c>
      <c r="N1028" s="4">
        <v>403</v>
      </c>
      <c r="O1028" s="4" t="s">
        <v>47</v>
      </c>
      <c r="P1028" s="5">
        <v>411598811</v>
      </c>
    </row>
    <row r="1029" spans="1:16" x14ac:dyDescent="0.25">
      <c r="A1029" s="4">
        <v>2026</v>
      </c>
      <c r="B1029" s="4">
        <v>2</v>
      </c>
      <c r="C1029" s="4" t="s">
        <v>36</v>
      </c>
      <c r="D1029" s="4" t="s">
        <v>13</v>
      </c>
      <c r="E1029" s="4" t="s">
        <v>50</v>
      </c>
      <c r="F1029" s="4" t="s">
        <v>25</v>
      </c>
      <c r="G1029" s="5">
        <v>2242643</v>
      </c>
      <c r="H1029" s="5">
        <v>222741</v>
      </c>
      <c r="I1029" s="4">
        <v>23</v>
      </c>
      <c r="J1029" s="4">
        <v>1.1200000000000001</v>
      </c>
      <c r="K1029" s="4">
        <v>7.9</v>
      </c>
      <c r="L1029" s="4">
        <v>6.44</v>
      </c>
      <c r="M1029" s="4">
        <v>6.12</v>
      </c>
      <c r="N1029" s="4">
        <v>426</v>
      </c>
      <c r="O1029" s="4" t="s">
        <v>47</v>
      </c>
      <c r="P1029" s="5">
        <v>955365918</v>
      </c>
    </row>
    <row r="1030" spans="1:16" x14ac:dyDescent="0.25">
      <c r="A1030" s="4">
        <v>2025</v>
      </c>
      <c r="B1030" s="4">
        <v>9</v>
      </c>
      <c r="C1030" s="4" t="s">
        <v>30</v>
      </c>
      <c r="D1030" s="4" t="s">
        <v>22</v>
      </c>
      <c r="E1030" s="4" t="s">
        <v>48</v>
      </c>
      <c r="F1030" s="4" t="s">
        <v>15</v>
      </c>
      <c r="G1030" s="5">
        <v>2654063</v>
      </c>
      <c r="H1030" s="5">
        <v>136209</v>
      </c>
      <c r="I1030" s="4">
        <v>94</v>
      </c>
      <c r="J1030" s="4">
        <v>1.01</v>
      </c>
      <c r="K1030" s="4">
        <v>6.85</v>
      </c>
      <c r="L1030" s="4">
        <v>4.88</v>
      </c>
      <c r="M1030" s="4">
        <v>1.72</v>
      </c>
      <c r="N1030" s="4">
        <v>469</v>
      </c>
      <c r="O1030" s="4" t="s">
        <v>47</v>
      </c>
      <c r="P1030" s="5">
        <v>1244755547</v>
      </c>
    </row>
    <row r="1031" spans="1:16" x14ac:dyDescent="0.25">
      <c r="A1031" s="4">
        <v>2025</v>
      </c>
      <c r="B1031" s="4">
        <v>8</v>
      </c>
      <c r="C1031" s="4" t="s">
        <v>30</v>
      </c>
      <c r="D1031" s="4" t="s">
        <v>24</v>
      </c>
      <c r="E1031" s="4" t="s">
        <v>48</v>
      </c>
      <c r="F1031" s="4" t="s">
        <v>18</v>
      </c>
      <c r="G1031" s="5">
        <v>2979364</v>
      </c>
      <c r="H1031" s="5">
        <v>123417</v>
      </c>
      <c r="I1031" s="4">
        <v>188</v>
      </c>
      <c r="J1031" s="4">
        <v>1.1000000000000001</v>
      </c>
      <c r="K1031" s="4">
        <v>4.28</v>
      </c>
      <c r="L1031" s="4">
        <v>7.55</v>
      </c>
      <c r="M1031" s="4">
        <v>5.29</v>
      </c>
      <c r="N1031" s="4">
        <v>405</v>
      </c>
      <c r="O1031" s="4" t="s">
        <v>47</v>
      </c>
      <c r="P1031" s="5">
        <v>1206642420</v>
      </c>
    </row>
    <row r="1032" spans="1:16" x14ac:dyDescent="0.25">
      <c r="A1032" s="4">
        <v>2026</v>
      </c>
      <c r="B1032" s="4">
        <v>2</v>
      </c>
      <c r="C1032" s="4" t="s">
        <v>28</v>
      </c>
      <c r="D1032" s="4" t="s">
        <v>37</v>
      </c>
      <c r="E1032" s="4" t="s">
        <v>48</v>
      </c>
      <c r="F1032" s="4" t="s">
        <v>18</v>
      </c>
      <c r="G1032" s="5">
        <v>3415933</v>
      </c>
      <c r="H1032" s="5">
        <v>483828</v>
      </c>
      <c r="I1032" s="4">
        <v>155</v>
      </c>
      <c r="J1032" s="4">
        <v>1.83</v>
      </c>
      <c r="K1032" s="4">
        <v>5.55</v>
      </c>
      <c r="L1032" s="4">
        <v>4.5199999999999996</v>
      </c>
      <c r="M1032" s="4">
        <v>6.94</v>
      </c>
      <c r="N1032" s="4">
        <v>656</v>
      </c>
      <c r="O1032" s="4" t="s">
        <v>47</v>
      </c>
      <c r="P1032" s="5">
        <v>2240852048</v>
      </c>
    </row>
    <row r="1033" spans="1:16" x14ac:dyDescent="0.25">
      <c r="A1033" s="4">
        <v>2026</v>
      </c>
      <c r="B1033" s="4">
        <v>1</v>
      </c>
      <c r="C1033" s="4" t="s">
        <v>36</v>
      </c>
      <c r="D1033" s="4" t="s">
        <v>37</v>
      </c>
      <c r="E1033" s="4" t="s">
        <v>48</v>
      </c>
      <c r="F1033" s="4" t="s">
        <v>15</v>
      </c>
      <c r="G1033" s="5">
        <v>3518622</v>
      </c>
      <c r="H1033" s="5">
        <v>281931</v>
      </c>
      <c r="I1033" s="4">
        <v>66</v>
      </c>
      <c r="J1033" s="4">
        <v>1.78</v>
      </c>
      <c r="K1033" s="4">
        <v>7.63</v>
      </c>
      <c r="L1033" s="4">
        <v>8.2899999999999991</v>
      </c>
      <c r="M1033" s="4">
        <v>5.42</v>
      </c>
      <c r="N1033" s="4">
        <v>569</v>
      </c>
      <c r="O1033" s="4" t="s">
        <v>47</v>
      </c>
      <c r="P1033" s="5">
        <v>2002095918</v>
      </c>
    </row>
    <row r="1034" spans="1:16" x14ac:dyDescent="0.25">
      <c r="A1034" s="4">
        <v>2026</v>
      </c>
      <c r="B1034" s="4">
        <v>1</v>
      </c>
      <c r="C1034" s="4" t="s">
        <v>28</v>
      </c>
      <c r="D1034" s="4" t="s">
        <v>16</v>
      </c>
      <c r="E1034" s="4" t="s">
        <v>48</v>
      </c>
      <c r="F1034" s="4" t="s">
        <v>21</v>
      </c>
      <c r="G1034" s="5">
        <v>1353242</v>
      </c>
      <c r="H1034" s="5">
        <v>270438</v>
      </c>
      <c r="I1034" s="4">
        <v>117</v>
      </c>
      <c r="J1034" s="4">
        <v>1.48</v>
      </c>
      <c r="K1034" s="4">
        <v>6.92</v>
      </c>
      <c r="L1034" s="4">
        <v>7.34</v>
      </c>
      <c r="M1034" s="4">
        <v>2.44</v>
      </c>
      <c r="N1034" s="4">
        <v>768</v>
      </c>
      <c r="O1034" s="4" t="s">
        <v>47</v>
      </c>
      <c r="P1034" s="5">
        <v>1039289856</v>
      </c>
    </row>
    <row r="1035" spans="1:16" x14ac:dyDescent="0.25">
      <c r="A1035" s="4">
        <v>2026</v>
      </c>
      <c r="B1035" s="4">
        <v>2</v>
      </c>
      <c r="C1035" s="4" t="s">
        <v>19</v>
      </c>
      <c r="D1035" s="4" t="s">
        <v>16</v>
      </c>
      <c r="E1035" s="4" t="s">
        <v>48</v>
      </c>
      <c r="F1035" s="4" t="s">
        <v>21</v>
      </c>
      <c r="G1035" s="5">
        <v>1491906</v>
      </c>
      <c r="H1035" s="5">
        <v>443716</v>
      </c>
      <c r="I1035" s="4">
        <v>125</v>
      </c>
      <c r="J1035" s="4">
        <v>1.1299999999999999</v>
      </c>
      <c r="K1035" s="4">
        <v>5.89</v>
      </c>
      <c r="L1035" s="4">
        <v>4.55</v>
      </c>
      <c r="M1035" s="4">
        <v>9.19</v>
      </c>
      <c r="N1035" s="4">
        <v>454</v>
      </c>
      <c r="O1035" s="4" t="s">
        <v>49</v>
      </c>
      <c r="P1035" s="5">
        <v>677325324</v>
      </c>
    </row>
    <row r="1036" spans="1:16" x14ac:dyDescent="0.25">
      <c r="A1036" s="4">
        <v>2026</v>
      </c>
      <c r="B1036" s="4">
        <v>2</v>
      </c>
      <c r="C1036" s="4" t="s">
        <v>36</v>
      </c>
      <c r="D1036" s="4" t="s">
        <v>32</v>
      </c>
      <c r="E1036" s="4" t="s">
        <v>46</v>
      </c>
      <c r="F1036" s="4" t="s">
        <v>21</v>
      </c>
      <c r="G1036" s="5">
        <v>3324698</v>
      </c>
      <c r="H1036" s="5">
        <v>427010</v>
      </c>
      <c r="I1036" s="4">
        <v>110</v>
      </c>
      <c r="J1036" s="4">
        <v>1.58</v>
      </c>
      <c r="K1036" s="4">
        <v>6.58</v>
      </c>
      <c r="L1036" s="4">
        <v>4.16</v>
      </c>
      <c r="M1036" s="4">
        <v>7.58</v>
      </c>
      <c r="N1036" s="4">
        <v>424</v>
      </c>
      <c r="O1036" s="4" t="s">
        <v>49</v>
      </c>
      <c r="P1036" s="5">
        <v>1409671952</v>
      </c>
    </row>
    <row r="1037" spans="1:16" x14ac:dyDescent="0.25">
      <c r="A1037" s="4">
        <v>2025</v>
      </c>
      <c r="B1037" s="4">
        <v>11</v>
      </c>
      <c r="C1037" s="4" t="s">
        <v>19</v>
      </c>
      <c r="D1037" s="4" t="s">
        <v>32</v>
      </c>
      <c r="E1037" s="4" t="s">
        <v>46</v>
      </c>
      <c r="F1037" s="4" t="s">
        <v>18</v>
      </c>
      <c r="G1037" s="5">
        <v>2705246</v>
      </c>
      <c r="H1037" s="5">
        <v>342997</v>
      </c>
      <c r="I1037" s="4">
        <v>191</v>
      </c>
      <c r="J1037" s="4">
        <v>1.62</v>
      </c>
      <c r="K1037" s="4">
        <v>7.32</v>
      </c>
      <c r="L1037" s="4">
        <v>4.95</v>
      </c>
      <c r="M1037" s="4">
        <v>9.93</v>
      </c>
      <c r="N1037" s="4">
        <v>568</v>
      </c>
      <c r="O1037" s="4" t="s">
        <v>49</v>
      </c>
      <c r="P1037" s="5">
        <v>1536579728</v>
      </c>
    </row>
    <row r="1038" spans="1:16" x14ac:dyDescent="0.25">
      <c r="A1038" s="4">
        <v>2026</v>
      </c>
      <c r="B1038" s="4">
        <v>3</v>
      </c>
      <c r="C1038" s="4" t="s">
        <v>36</v>
      </c>
      <c r="D1038" s="4" t="s">
        <v>22</v>
      </c>
      <c r="E1038" s="4" t="s">
        <v>48</v>
      </c>
      <c r="F1038" s="4" t="s">
        <v>18</v>
      </c>
      <c r="G1038" s="5">
        <v>1138141</v>
      </c>
      <c r="H1038" s="5">
        <v>173330</v>
      </c>
      <c r="I1038" s="4">
        <v>181</v>
      </c>
      <c r="J1038" s="4">
        <v>1.85</v>
      </c>
      <c r="K1038" s="4">
        <v>3.17</v>
      </c>
      <c r="L1038" s="4">
        <v>9.75</v>
      </c>
      <c r="M1038" s="4">
        <v>4.2</v>
      </c>
      <c r="N1038" s="4">
        <v>228</v>
      </c>
      <c r="O1038" s="4" t="s">
        <v>49</v>
      </c>
      <c r="P1038" s="5">
        <v>259496148</v>
      </c>
    </row>
    <row r="1039" spans="1:16" x14ac:dyDescent="0.25">
      <c r="A1039" s="4">
        <v>2025</v>
      </c>
      <c r="B1039" s="4">
        <v>11</v>
      </c>
      <c r="C1039" s="4" t="s">
        <v>28</v>
      </c>
      <c r="D1039" s="4" t="s">
        <v>24</v>
      </c>
      <c r="E1039" s="4" t="s">
        <v>48</v>
      </c>
      <c r="F1039" s="4" t="s">
        <v>18</v>
      </c>
      <c r="G1039" s="5">
        <v>4531777</v>
      </c>
      <c r="H1039" s="5">
        <v>300655</v>
      </c>
      <c r="I1039" s="4">
        <v>23</v>
      </c>
      <c r="J1039" s="4">
        <v>1.1000000000000001</v>
      </c>
      <c r="K1039" s="4">
        <v>3.46</v>
      </c>
      <c r="L1039" s="4">
        <v>4.34</v>
      </c>
      <c r="M1039" s="4">
        <v>1.78</v>
      </c>
      <c r="N1039" s="4">
        <v>498</v>
      </c>
      <c r="O1039" s="4" t="s">
        <v>49</v>
      </c>
      <c r="P1039" s="5">
        <v>2256824946</v>
      </c>
    </row>
    <row r="1040" spans="1:16" x14ac:dyDescent="0.25">
      <c r="A1040" s="4">
        <v>2025</v>
      </c>
      <c r="B1040" s="4">
        <v>4</v>
      </c>
      <c r="C1040" s="4" t="s">
        <v>36</v>
      </c>
      <c r="D1040" s="4" t="s">
        <v>13</v>
      </c>
      <c r="E1040" s="4" t="s">
        <v>50</v>
      </c>
      <c r="F1040" s="4" t="s">
        <v>18</v>
      </c>
      <c r="G1040" s="5">
        <v>4606018</v>
      </c>
      <c r="H1040" s="5">
        <v>322053</v>
      </c>
      <c r="I1040" s="4">
        <v>143</v>
      </c>
      <c r="J1040" s="4">
        <v>1.54</v>
      </c>
      <c r="K1040" s="4">
        <v>3.16</v>
      </c>
      <c r="L1040" s="4">
        <v>7.48</v>
      </c>
      <c r="M1040" s="4">
        <v>7.94</v>
      </c>
      <c r="N1040" s="4">
        <v>654</v>
      </c>
      <c r="O1040" s="4" t="s">
        <v>47</v>
      </c>
      <c r="P1040" s="5">
        <v>3012335772</v>
      </c>
    </row>
    <row r="1041" spans="1:16" x14ac:dyDescent="0.25">
      <c r="A1041" s="4">
        <v>2026</v>
      </c>
      <c r="B1041" s="4">
        <v>2</v>
      </c>
      <c r="C1041" s="4" t="s">
        <v>28</v>
      </c>
      <c r="D1041" s="4" t="s">
        <v>16</v>
      </c>
      <c r="E1041" s="4" t="s">
        <v>48</v>
      </c>
      <c r="F1041" s="4" t="s">
        <v>25</v>
      </c>
      <c r="G1041" s="5">
        <v>2993800</v>
      </c>
      <c r="H1041" s="5">
        <v>486030</v>
      </c>
      <c r="I1041" s="4">
        <v>139</v>
      </c>
      <c r="J1041" s="4">
        <v>1.49</v>
      </c>
      <c r="K1041" s="4">
        <v>7.95</v>
      </c>
      <c r="L1041" s="4">
        <v>4.3899999999999997</v>
      </c>
      <c r="M1041" s="4">
        <v>8.0500000000000007</v>
      </c>
      <c r="N1041" s="4">
        <v>331</v>
      </c>
      <c r="O1041" s="4" t="s">
        <v>47</v>
      </c>
      <c r="P1041" s="5">
        <v>990947800</v>
      </c>
    </row>
    <row r="1042" spans="1:16" x14ac:dyDescent="0.25">
      <c r="A1042" s="4">
        <v>2025</v>
      </c>
      <c r="B1042" s="4">
        <v>9</v>
      </c>
      <c r="C1042" s="12" t="s">
        <v>34</v>
      </c>
      <c r="D1042" s="4" t="s">
        <v>32</v>
      </c>
      <c r="E1042" s="4" t="s">
        <v>46</v>
      </c>
      <c r="F1042" s="4" t="s">
        <v>25</v>
      </c>
      <c r="G1042" s="5">
        <v>2623171</v>
      </c>
      <c r="H1042" s="5">
        <v>375801</v>
      </c>
      <c r="I1042" s="4">
        <v>151</v>
      </c>
      <c r="J1042" s="4">
        <v>1.71</v>
      </c>
      <c r="K1042" s="4">
        <v>5.07</v>
      </c>
      <c r="L1042" s="4">
        <v>6.16</v>
      </c>
      <c r="M1042" s="4">
        <v>8.4600000000000009</v>
      </c>
      <c r="N1042" s="4">
        <v>188</v>
      </c>
      <c r="O1042" s="4" t="s">
        <v>47</v>
      </c>
      <c r="P1042" s="5">
        <v>493156148</v>
      </c>
    </row>
    <row r="1043" spans="1:16" x14ac:dyDescent="0.25">
      <c r="A1043" s="4">
        <v>2025</v>
      </c>
      <c r="B1043" s="4">
        <v>9</v>
      </c>
      <c r="C1043" s="12" t="s">
        <v>36</v>
      </c>
      <c r="D1043" s="4" t="s">
        <v>16</v>
      </c>
      <c r="E1043" s="4" t="s">
        <v>48</v>
      </c>
      <c r="F1043" s="4" t="s">
        <v>18</v>
      </c>
      <c r="G1043" s="5">
        <v>1680965</v>
      </c>
      <c r="H1043" s="5">
        <v>207697</v>
      </c>
      <c r="I1043" s="4">
        <v>172</v>
      </c>
      <c r="J1043" s="4">
        <v>1.38</v>
      </c>
      <c r="K1043" s="4">
        <v>6.49</v>
      </c>
      <c r="L1043" s="4">
        <v>9.3800000000000008</v>
      </c>
      <c r="M1043" s="4">
        <v>2.09</v>
      </c>
      <c r="N1043" s="4">
        <v>474</v>
      </c>
      <c r="O1043" s="4" t="s">
        <v>49</v>
      </c>
      <c r="P1043" s="5">
        <v>796777410</v>
      </c>
    </row>
    <row r="1044" spans="1:16" x14ac:dyDescent="0.25">
      <c r="A1044" s="4">
        <v>2025</v>
      </c>
      <c r="B1044" s="4">
        <v>5</v>
      </c>
      <c r="C1044" s="12" t="s">
        <v>28</v>
      </c>
      <c r="D1044" s="4" t="s">
        <v>20</v>
      </c>
      <c r="E1044" s="4" t="s">
        <v>48</v>
      </c>
      <c r="F1044" s="4" t="s">
        <v>18</v>
      </c>
      <c r="G1044" s="5">
        <v>4655517</v>
      </c>
      <c r="H1044" s="5">
        <v>302327</v>
      </c>
      <c r="I1044" s="4">
        <v>144</v>
      </c>
      <c r="J1044" s="4">
        <v>1.63</v>
      </c>
      <c r="K1044" s="4">
        <v>3.66</v>
      </c>
      <c r="L1044" s="4">
        <v>6.25</v>
      </c>
      <c r="M1044" s="4">
        <v>3.92</v>
      </c>
      <c r="N1044" s="4">
        <v>574</v>
      </c>
      <c r="O1044" s="4" t="s">
        <v>49</v>
      </c>
      <c r="P1044" s="5">
        <v>2672266758</v>
      </c>
    </row>
    <row r="1045" spans="1:16" x14ac:dyDescent="0.25">
      <c r="A1045" s="4">
        <v>2025</v>
      </c>
      <c r="B1045" s="4">
        <v>10</v>
      </c>
      <c r="C1045" s="12" t="s">
        <v>28</v>
      </c>
      <c r="D1045" s="4" t="s">
        <v>31</v>
      </c>
      <c r="E1045" s="4" t="s">
        <v>48</v>
      </c>
      <c r="F1045" s="4" t="s">
        <v>15</v>
      </c>
      <c r="G1045" s="5">
        <v>917508</v>
      </c>
      <c r="H1045" s="5">
        <v>434117</v>
      </c>
      <c r="I1045" s="4">
        <v>136</v>
      </c>
      <c r="J1045" s="4">
        <v>1.24</v>
      </c>
      <c r="K1045" s="4">
        <v>5.51</v>
      </c>
      <c r="L1045" s="4">
        <v>9.66</v>
      </c>
      <c r="M1045" s="4">
        <v>6.71</v>
      </c>
      <c r="N1045" s="4">
        <v>693</v>
      </c>
      <c r="O1045" s="4" t="s">
        <v>47</v>
      </c>
      <c r="P1045" s="5">
        <v>635833044</v>
      </c>
    </row>
    <row r="1046" spans="1:16" x14ac:dyDescent="0.25">
      <c r="A1046" s="4">
        <v>2025</v>
      </c>
      <c r="B1046" s="4">
        <v>4</v>
      </c>
      <c r="C1046" s="12" t="s">
        <v>36</v>
      </c>
      <c r="D1046" s="4" t="s">
        <v>22</v>
      </c>
      <c r="E1046" s="4" t="s">
        <v>48</v>
      </c>
      <c r="F1046" s="4" t="s">
        <v>15</v>
      </c>
      <c r="G1046" s="5">
        <v>2330346</v>
      </c>
      <c r="H1046" s="5">
        <v>236234</v>
      </c>
      <c r="I1046" s="4">
        <v>48</v>
      </c>
      <c r="J1046" s="4">
        <v>1.07</v>
      </c>
      <c r="K1046" s="4">
        <v>4.46</v>
      </c>
      <c r="L1046" s="4">
        <v>4.91</v>
      </c>
      <c r="M1046" s="4">
        <v>4.76</v>
      </c>
      <c r="N1046" s="4">
        <v>371</v>
      </c>
      <c r="O1046" s="4" t="s">
        <v>49</v>
      </c>
      <c r="P1046" s="5">
        <v>864558366</v>
      </c>
    </row>
    <row r="1047" spans="1:16" x14ac:dyDescent="0.25">
      <c r="A1047" s="4">
        <v>2025</v>
      </c>
      <c r="B1047" s="4">
        <v>10</v>
      </c>
      <c r="C1047" s="12" t="s">
        <v>36</v>
      </c>
      <c r="D1047" s="4" t="s">
        <v>27</v>
      </c>
      <c r="E1047" s="4" t="s">
        <v>48</v>
      </c>
      <c r="F1047" s="4" t="s">
        <v>25</v>
      </c>
      <c r="G1047" s="5">
        <v>4470628</v>
      </c>
      <c r="H1047" s="5">
        <v>142506</v>
      </c>
      <c r="I1047" s="4">
        <v>32</v>
      </c>
      <c r="J1047" s="4">
        <v>1.27</v>
      </c>
      <c r="K1047" s="4">
        <v>5.96</v>
      </c>
      <c r="L1047" s="4">
        <v>9.3800000000000008</v>
      </c>
      <c r="M1047" s="4">
        <v>4.66</v>
      </c>
      <c r="N1047" s="4">
        <v>140</v>
      </c>
      <c r="O1047" s="4" t="s">
        <v>47</v>
      </c>
      <c r="P1047" s="5">
        <v>625887920</v>
      </c>
    </row>
    <row r="1048" spans="1:16" x14ac:dyDescent="0.25">
      <c r="A1048" s="4">
        <v>2026</v>
      </c>
      <c r="B1048" s="4">
        <v>3</v>
      </c>
      <c r="C1048" s="12" t="s">
        <v>36</v>
      </c>
      <c r="D1048" s="4" t="s">
        <v>24</v>
      </c>
      <c r="E1048" s="4" t="s">
        <v>48</v>
      </c>
      <c r="F1048" s="4" t="s">
        <v>15</v>
      </c>
      <c r="G1048" s="5">
        <v>2372050</v>
      </c>
      <c r="H1048" s="5">
        <v>130105</v>
      </c>
      <c r="I1048" s="4">
        <v>172</v>
      </c>
      <c r="J1048" s="4">
        <v>1.31</v>
      </c>
      <c r="K1048" s="4">
        <v>4.87</v>
      </c>
      <c r="L1048" s="4">
        <v>7.15</v>
      </c>
      <c r="M1048" s="4">
        <v>7.76</v>
      </c>
      <c r="N1048" s="4">
        <v>784</v>
      </c>
      <c r="O1048" s="4" t="s">
        <v>47</v>
      </c>
      <c r="P1048" s="5">
        <v>1859687200</v>
      </c>
    </row>
    <row r="1049" spans="1:16" x14ac:dyDescent="0.25">
      <c r="A1049" s="4">
        <v>2026</v>
      </c>
      <c r="B1049" s="4">
        <v>3</v>
      </c>
      <c r="C1049" s="12" t="s">
        <v>30</v>
      </c>
      <c r="D1049" s="4" t="s">
        <v>29</v>
      </c>
      <c r="E1049" s="4" t="s">
        <v>46</v>
      </c>
      <c r="F1049" s="4" t="s">
        <v>25</v>
      </c>
      <c r="G1049" s="5">
        <v>3409859</v>
      </c>
      <c r="H1049" s="5">
        <v>489062</v>
      </c>
      <c r="I1049" s="4">
        <v>167</v>
      </c>
      <c r="J1049" s="4">
        <v>1.1000000000000001</v>
      </c>
      <c r="K1049" s="4">
        <v>4.74</v>
      </c>
      <c r="L1049" s="4">
        <v>8.44</v>
      </c>
      <c r="M1049" s="4">
        <v>7.12</v>
      </c>
      <c r="N1049" s="4">
        <v>781</v>
      </c>
      <c r="O1049" s="4" t="s">
        <v>49</v>
      </c>
      <c r="P1049" s="5">
        <v>2663099879</v>
      </c>
    </row>
    <row r="1050" spans="1:16" x14ac:dyDescent="0.25">
      <c r="A1050" s="4">
        <v>2026</v>
      </c>
      <c r="B1050" s="4">
        <v>2</v>
      </c>
      <c r="C1050" s="12" t="s">
        <v>36</v>
      </c>
      <c r="D1050" s="4" t="s">
        <v>31</v>
      </c>
      <c r="E1050" s="4" t="s">
        <v>48</v>
      </c>
      <c r="F1050" s="4" t="s">
        <v>25</v>
      </c>
      <c r="G1050" s="5">
        <v>2326902</v>
      </c>
      <c r="H1050" s="5">
        <v>423329</v>
      </c>
      <c r="I1050" s="4">
        <v>30</v>
      </c>
      <c r="J1050" s="4">
        <v>1.86</v>
      </c>
      <c r="K1050" s="4">
        <v>6.18</v>
      </c>
      <c r="L1050" s="4">
        <v>5.8</v>
      </c>
      <c r="M1050" s="4">
        <v>5.14</v>
      </c>
      <c r="N1050" s="4">
        <v>595</v>
      </c>
      <c r="O1050" s="4" t="s">
        <v>49</v>
      </c>
      <c r="P1050" s="5">
        <v>1384506690</v>
      </c>
    </row>
    <row r="1051" spans="1:16" x14ac:dyDescent="0.25">
      <c r="A1051" s="4">
        <v>2025</v>
      </c>
      <c r="B1051" s="4">
        <v>3</v>
      </c>
      <c r="C1051" s="12" t="s">
        <v>30</v>
      </c>
      <c r="D1051" s="4" t="s">
        <v>16</v>
      </c>
      <c r="E1051" s="4" t="s">
        <v>48</v>
      </c>
      <c r="F1051" s="4" t="s">
        <v>15</v>
      </c>
      <c r="G1051" s="5">
        <v>4048797</v>
      </c>
      <c r="H1051" s="5">
        <v>497701</v>
      </c>
      <c r="I1051" s="4">
        <v>136</v>
      </c>
      <c r="J1051" s="4">
        <v>1.91</v>
      </c>
      <c r="K1051" s="4">
        <v>3.04</v>
      </c>
      <c r="L1051" s="4">
        <v>9.81</v>
      </c>
      <c r="M1051" s="4">
        <v>7.22</v>
      </c>
      <c r="N1051" s="4">
        <v>571</v>
      </c>
      <c r="O1051" s="4" t="s">
        <v>49</v>
      </c>
      <c r="P1051" s="5">
        <v>2311863087</v>
      </c>
    </row>
    <row r="1052" spans="1:16" x14ac:dyDescent="0.25">
      <c r="A1052" s="4">
        <v>2026</v>
      </c>
      <c r="B1052" s="4">
        <v>1</v>
      </c>
      <c r="C1052" s="12" t="s">
        <v>36</v>
      </c>
      <c r="D1052" s="4" t="s">
        <v>31</v>
      </c>
      <c r="E1052" s="4" t="s">
        <v>48</v>
      </c>
      <c r="F1052" s="4" t="s">
        <v>15</v>
      </c>
      <c r="G1052" s="5">
        <v>847449</v>
      </c>
      <c r="H1052" s="5">
        <v>175881</v>
      </c>
      <c r="I1052" s="4">
        <v>26</v>
      </c>
      <c r="J1052" s="4">
        <v>1.45</v>
      </c>
      <c r="K1052" s="4">
        <v>7.86</v>
      </c>
      <c r="L1052" s="4">
        <v>9</v>
      </c>
      <c r="M1052" s="4">
        <v>9.23</v>
      </c>
      <c r="N1052" s="4">
        <v>575</v>
      </c>
      <c r="O1052" s="4" t="s">
        <v>47</v>
      </c>
      <c r="P1052" s="5">
        <v>487283175</v>
      </c>
    </row>
    <row r="1053" spans="1:16" x14ac:dyDescent="0.25">
      <c r="A1053" s="4">
        <v>2026</v>
      </c>
      <c r="B1053" s="4">
        <v>2</v>
      </c>
      <c r="C1053" s="12" t="s">
        <v>28</v>
      </c>
      <c r="D1053" s="4" t="s">
        <v>29</v>
      </c>
      <c r="E1053" s="4" t="s">
        <v>46</v>
      </c>
      <c r="F1053" s="4" t="s">
        <v>18</v>
      </c>
      <c r="G1053" s="5">
        <v>1490672</v>
      </c>
      <c r="H1053" s="5">
        <v>421932</v>
      </c>
      <c r="I1053" s="4">
        <v>113</v>
      </c>
      <c r="J1053" s="4">
        <v>1.44</v>
      </c>
      <c r="K1053" s="4">
        <v>5.6</v>
      </c>
      <c r="L1053" s="4">
        <v>8.16</v>
      </c>
      <c r="M1053" s="4">
        <v>1.82</v>
      </c>
      <c r="N1053" s="4">
        <v>258</v>
      </c>
      <c r="O1053" s="4" t="s">
        <v>47</v>
      </c>
      <c r="P1053" s="5">
        <v>384593376</v>
      </c>
    </row>
    <row r="1054" spans="1:16" x14ac:dyDescent="0.25">
      <c r="A1054" s="4">
        <v>2026</v>
      </c>
      <c r="B1054" s="4">
        <v>1</v>
      </c>
      <c r="C1054" s="12" t="s">
        <v>34</v>
      </c>
      <c r="D1054" s="4" t="s">
        <v>37</v>
      </c>
      <c r="E1054" s="4" t="s">
        <v>48</v>
      </c>
      <c r="F1054" s="4" t="s">
        <v>25</v>
      </c>
      <c r="G1054" s="5">
        <v>1864284</v>
      </c>
      <c r="H1054" s="5">
        <v>322291</v>
      </c>
      <c r="I1054" s="4">
        <v>160</v>
      </c>
      <c r="J1054" s="4">
        <v>1.1299999999999999</v>
      </c>
      <c r="K1054" s="4">
        <v>7.9</v>
      </c>
      <c r="L1054" s="4">
        <v>9.23</v>
      </c>
      <c r="M1054" s="4">
        <v>5.52</v>
      </c>
      <c r="N1054" s="4">
        <v>510</v>
      </c>
      <c r="O1054" s="4" t="s">
        <v>49</v>
      </c>
      <c r="P1054" s="5">
        <v>950784840</v>
      </c>
    </row>
    <row r="1055" spans="1:16" x14ac:dyDescent="0.25">
      <c r="A1055" s="4">
        <v>2025</v>
      </c>
      <c r="B1055" s="4">
        <v>4</v>
      </c>
      <c r="C1055" s="12" t="s">
        <v>36</v>
      </c>
      <c r="D1055" s="4" t="s">
        <v>16</v>
      </c>
      <c r="E1055" s="4" t="s">
        <v>48</v>
      </c>
      <c r="F1055" s="4" t="s">
        <v>25</v>
      </c>
      <c r="G1055" s="5">
        <v>842441</v>
      </c>
      <c r="H1055" s="5">
        <v>140703</v>
      </c>
      <c r="I1055" s="4">
        <v>76</v>
      </c>
      <c r="J1055" s="4">
        <v>1.1100000000000001</v>
      </c>
      <c r="K1055" s="4">
        <v>4.58</v>
      </c>
      <c r="L1055" s="4">
        <v>5.48</v>
      </c>
      <c r="M1055" s="4">
        <v>6.07</v>
      </c>
      <c r="N1055" s="4">
        <v>646</v>
      </c>
      <c r="O1055" s="4" t="s">
        <v>49</v>
      </c>
      <c r="P1055" s="5">
        <v>544216886</v>
      </c>
    </row>
    <row r="1056" spans="1:16" x14ac:dyDescent="0.25">
      <c r="A1056" s="4">
        <v>2026</v>
      </c>
      <c r="B1056" s="4">
        <v>3</v>
      </c>
      <c r="C1056" s="12" t="s">
        <v>30</v>
      </c>
      <c r="D1056" s="4" t="s">
        <v>20</v>
      </c>
      <c r="E1056" s="4" t="s">
        <v>48</v>
      </c>
      <c r="F1056" s="4" t="s">
        <v>18</v>
      </c>
      <c r="G1056" s="5">
        <v>4275271</v>
      </c>
      <c r="H1056" s="5">
        <v>435879</v>
      </c>
      <c r="I1056" s="4">
        <v>42</v>
      </c>
      <c r="J1056" s="4">
        <v>1.36</v>
      </c>
      <c r="K1056" s="4">
        <v>7.55</v>
      </c>
      <c r="L1056" s="4">
        <v>9.27</v>
      </c>
      <c r="M1056" s="4">
        <v>4.91</v>
      </c>
      <c r="N1056" s="4">
        <v>368</v>
      </c>
      <c r="O1056" s="4" t="s">
        <v>47</v>
      </c>
      <c r="P1056" s="5">
        <v>1573299728</v>
      </c>
    </row>
    <row r="1057" spans="1:16" x14ac:dyDescent="0.25">
      <c r="A1057" s="4">
        <v>2026</v>
      </c>
      <c r="B1057" s="4">
        <v>3</v>
      </c>
      <c r="C1057" s="12" t="s">
        <v>34</v>
      </c>
      <c r="D1057" s="4" t="s">
        <v>32</v>
      </c>
      <c r="E1057" s="4" t="s">
        <v>46</v>
      </c>
      <c r="F1057" s="4" t="s">
        <v>18</v>
      </c>
      <c r="G1057" s="5">
        <v>4102174</v>
      </c>
      <c r="H1057" s="5">
        <v>323057</v>
      </c>
      <c r="I1057" s="4">
        <v>183</v>
      </c>
      <c r="J1057" s="4">
        <v>1.72</v>
      </c>
      <c r="K1057" s="4">
        <v>5.62</v>
      </c>
      <c r="L1057" s="4">
        <v>5.92</v>
      </c>
      <c r="M1057" s="4">
        <v>1.03</v>
      </c>
      <c r="N1057" s="4">
        <v>140</v>
      </c>
      <c r="O1057" s="4" t="s">
        <v>47</v>
      </c>
      <c r="P1057" s="5">
        <v>574304360</v>
      </c>
    </row>
    <row r="1058" spans="1:16" x14ac:dyDescent="0.25">
      <c r="A1058" s="4">
        <v>2026</v>
      </c>
      <c r="B1058" s="4">
        <v>1</v>
      </c>
      <c r="C1058" s="12" t="s">
        <v>19</v>
      </c>
      <c r="D1058" s="4" t="s">
        <v>29</v>
      </c>
      <c r="E1058" s="4" t="s">
        <v>46</v>
      </c>
      <c r="F1058" s="4" t="s">
        <v>25</v>
      </c>
      <c r="G1058" s="5">
        <v>4365948</v>
      </c>
      <c r="H1058" s="5">
        <v>318269</v>
      </c>
      <c r="I1058" s="4">
        <v>153</v>
      </c>
      <c r="J1058" s="4">
        <v>1.06</v>
      </c>
      <c r="K1058" s="4">
        <v>6.04</v>
      </c>
      <c r="L1058" s="4">
        <v>6.87</v>
      </c>
      <c r="M1058" s="4">
        <v>3.56</v>
      </c>
      <c r="N1058" s="4">
        <v>150</v>
      </c>
      <c r="O1058" s="4" t="s">
        <v>49</v>
      </c>
      <c r="P1058" s="5">
        <v>654892200</v>
      </c>
    </row>
    <row r="1059" spans="1:16" x14ac:dyDescent="0.25">
      <c r="A1059" s="4">
        <v>2025</v>
      </c>
      <c r="B1059" s="4">
        <v>11</v>
      </c>
      <c r="C1059" s="12" t="s">
        <v>34</v>
      </c>
      <c r="D1059" s="4" t="s">
        <v>16</v>
      </c>
      <c r="E1059" s="4" t="s">
        <v>48</v>
      </c>
      <c r="F1059" s="4" t="s">
        <v>25</v>
      </c>
      <c r="G1059" s="5">
        <v>2018876</v>
      </c>
      <c r="H1059" s="5">
        <v>129353</v>
      </c>
      <c r="I1059" s="4">
        <v>60</v>
      </c>
      <c r="J1059" s="4">
        <v>1.35</v>
      </c>
      <c r="K1059" s="4">
        <v>6.29</v>
      </c>
      <c r="L1059" s="4">
        <v>7.91</v>
      </c>
      <c r="M1059" s="4">
        <v>8.4</v>
      </c>
      <c r="N1059" s="4">
        <v>791</v>
      </c>
      <c r="O1059" s="4" t="s">
        <v>47</v>
      </c>
      <c r="P1059" s="5">
        <v>1596930916</v>
      </c>
    </row>
    <row r="1060" spans="1:16" x14ac:dyDescent="0.25">
      <c r="A1060" s="4">
        <v>2025</v>
      </c>
      <c r="B1060" s="4">
        <v>6</v>
      </c>
      <c r="C1060" s="12" t="s">
        <v>36</v>
      </c>
      <c r="D1060" s="4" t="s">
        <v>24</v>
      </c>
      <c r="E1060" s="4" t="s">
        <v>48</v>
      </c>
      <c r="F1060" s="4" t="s">
        <v>25</v>
      </c>
      <c r="G1060" s="5">
        <v>4567568</v>
      </c>
      <c r="H1060" s="5">
        <v>226152</v>
      </c>
      <c r="I1060" s="4">
        <v>148</v>
      </c>
      <c r="J1060" s="4">
        <v>1.89</v>
      </c>
      <c r="K1060" s="4">
        <v>6.82</v>
      </c>
      <c r="L1060" s="4">
        <v>8.19</v>
      </c>
      <c r="M1060" s="4">
        <v>4.0199999999999996</v>
      </c>
      <c r="N1060" s="4">
        <v>217</v>
      </c>
      <c r="O1060" s="4" t="s">
        <v>49</v>
      </c>
      <c r="P1060" s="5">
        <v>991162256</v>
      </c>
    </row>
    <row r="1061" spans="1:16" x14ac:dyDescent="0.25">
      <c r="A1061" s="4">
        <v>2026</v>
      </c>
      <c r="B1061" s="4">
        <v>2</v>
      </c>
      <c r="C1061" s="12" t="s">
        <v>30</v>
      </c>
      <c r="D1061" s="4" t="s">
        <v>27</v>
      </c>
      <c r="E1061" s="4" t="s">
        <v>48</v>
      </c>
      <c r="F1061" s="4" t="s">
        <v>21</v>
      </c>
      <c r="G1061" s="5">
        <v>3087505</v>
      </c>
      <c r="H1061" s="5">
        <v>146870</v>
      </c>
      <c r="I1061" s="4">
        <v>129</v>
      </c>
      <c r="J1061" s="4">
        <v>1.1100000000000001</v>
      </c>
      <c r="K1061" s="4">
        <v>5.95</v>
      </c>
      <c r="L1061" s="4">
        <v>8.4700000000000006</v>
      </c>
      <c r="M1061" s="4">
        <v>8.6300000000000008</v>
      </c>
      <c r="N1061" s="4">
        <v>93</v>
      </c>
      <c r="O1061" s="4" t="s">
        <v>47</v>
      </c>
      <c r="P1061" s="5">
        <v>287137965</v>
      </c>
    </row>
    <row r="1062" spans="1:16" x14ac:dyDescent="0.25">
      <c r="A1062" s="4">
        <v>2025</v>
      </c>
      <c r="B1062" s="4">
        <v>1</v>
      </c>
      <c r="C1062" s="12" t="s">
        <v>28</v>
      </c>
      <c r="D1062" s="4" t="s">
        <v>22</v>
      </c>
      <c r="E1062" s="4" t="s">
        <v>48</v>
      </c>
      <c r="F1062" s="4" t="s">
        <v>18</v>
      </c>
      <c r="G1062" s="5">
        <v>3361534</v>
      </c>
      <c r="H1062" s="5">
        <v>201670</v>
      </c>
      <c r="I1062" s="4">
        <v>186</v>
      </c>
      <c r="J1062" s="4">
        <v>1.86</v>
      </c>
      <c r="K1062" s="4">
        <v>3.49</v>
      </c>
      <c r="L1062" s="4">
        <v>6.99</v>
      </c>
      <c r="M1062" s="4">
        <v>6.23</v>
      </c>
      <c r="N1062" s="4">
        <v>564</v>
      </c>
      <c r="O1062" s="4" t="s">
        <v>47</v>
      </c>
      <c r="P1062" s="5">
        <v>1895905176</v>
      </c>
    </row>
    <row r="1063" spans="1:16" x14ac:dyDescent="0.25">
      <c r="A1063" s="4">
        <v>2025</v>
      </c>
      <c r="B1063" s="4">
        <v>2</v>
      </c>
      <c r="C1063" s="12" t="s">
        <v>36</v>
      </c>
      <c r="D1063" s="4" t="s">
        <v>22</v>
      </c>
      <c r="E1063" s="4" t="s">
        <v>48</v>
      </c>
      <c r="F1063" s="4" t="s">
        <v>25</v>
      </c>
      <c r="G1063" s="5">
        <v>1216114</v>
      </c>
      <c r="H1063" s="5">
        <v>175358</v>
      </c>
      <c r="I1063" s="4">
        <v>150</v>
      </c>
      <c r="J1063" s="4">
        <v>1.51</v>
      </c>
      <c r="K1063" s="4">
        <v>7.84</v>
      </c>
      <c r="L1063" s="4">
        <v>4.5999999999999996</v>
      </c>
      <c r="M1063" s="4">
        <v>1.36</v>
      </c>
      <c r="N1063" s="4">
        <v>315</v>
      </c>
      <c r="O1063" s="4" t="s">
        <v>49</v>
      </c>
      <c r="P1063" s="5">
        <v>383075910</v>
      </c>
    </row>
    <row r="1064" spans="1:16" x14ac:dyDescent="0.25">
      <c r="A1064" s="4">
        <v>2026</v>
      </c>
      <c r="B1064" s="4">
        <v>3</v>
      </c>
      <c r="C1064" s="12" t="s">
        <v>34</v>
      </c>
      <c r="D1064" s="4" t="s">
        <v>37</v>
      </c>
      <c r="E1064" s="4" t="s">
        <v>48</v>
      </c>
      <c r="F1064" s="4" t="s">
        <v>25</v>
      </c>
      <c r="G1064" s="5">
        <v>4613268</v>
      </c>
      <c r="H1064" s="5">
        <v>379697</v>
      </c>
      <c r="I1064" s="4">
        <v>121</v>
      </c>
      <c r="J1064" s="4">
        <v>1.86</v>
      </c>
      <c r="K1064" s="4">
        <v>5</v>
      </c>
      <c r="L1064" s="4">
        <v>6.29</v>
      </c>
      <c r="M1064" s="4">
        <v>1.2</v>
      </c>
      <c r="N1064" s="4">
        <v>732</v>
      </c>
      <c r="O1064" s="4" t="s">
        <v>47</v>
      </c>
      <c r="P1064" s="5">
        <v>3376912176</v>
      </c>
    </row>
    <row r="1065" spans="1:16" x14ac:dyDescent="0.25">
      <c r="A1065" s="4">
        <v>2025</v>
      </c>
      <c r="B1065" s="4">
        <v>2</v>
      </c>
      <c r="C1065" s="12" t="s">
        <v>19</v>
      </c>
      <c r="D1065" s="4" t="s">
        <v>16</v>
      </c>
      <c r="E1065" s="4" t="s">
        <v>48</v>
      </c>
      <c r="F1065" s="4" t="s">
        <v>25</v>
      </c>
      <c r="G1065" s="5">
        <v>1406064</v>
      </c>
      <c r="H1065" s="5">
        <v>203521</v>
      </c>
      <c r="I1065" s="4">
        <v>115</v>
      </c>
      <c r="J1065" s="4">
        <v>1.54</v>
      </c>
      <c r="K1065" s="4">
        <v>3.55</v>
      </c>
      <c r="L1065" s="4">
        <v>6.43</v>
      </c>
      <c r="M1065" s="4">
        <v>4.6500000000000004</v>
      </c>
      <c r="N1065" s="4">
        <v>61</v>
      </c>
      <c r="O1065" s="4" t="s">
        <v>47</v>
      </c>
      <c r="P1065" s="5">
        <v>85769904</v>
      </c>
    </row>
    <row r="1066" spans="1:16" x14ac:dyDescent="0.25">
      <c r="A1066" s="4">
        <v>2025</v>
      </c>
      <c r="B1066" s="4">
        <v>4</v>
      </c>
      <c r="C1066" s="12" t="s">
        <v>30</v>
      </c>
      <c r="D1066" s="4" t="s">
        <v>31</v>
      </c>
      <c r="E1066" s="4" t="s">
        <v>48</v>
      </c>
      <c r="F1066" s="4" t="s">
        <v>15</v>
      </c>
      <c r="G1066" s="5">
        <v>4405125</v>
      </c>
      <c r="H1066" s="5">
        <v>121863</v>
      </c>
      <c r="I1066" s="4">
        <v>138</v>
      </c>
      <c r="J1066" s="4">
        <v>1.68</v>
      </c>
      <c r="K1066" s="4">
        <v>7.46</v>
      </c>
      <c r="L1066" s="4">
        <v>4.01</v>
      </c>
      <c r="M1066" s="4">
        <v>9.43</v>
      </c>
      <c r="N1066" s="4">
        <v>427</v>
      </c>
      <c r="O1066" s="4" t="s">
        <v>47</v>
      </c>
      <c r="P1066" s="5">
        <v>1880988375</v>
      </c>
    </row>
    <row r="1067" spans="1:16" x14ac:dyDescent="0.25">
      <c r="A1067" s="4">
        <v>2026</v>
      </c>
      <c r="B1067" s="4">
        <v>2</v>
      </c>
      <c r="C1067" s="12" t="s">
        <v>30</v>
      </c>
      <c r="D1067" s="4" t="s">
        <v>32</v>
      </c>
      <c r="E1067" s="4" t="s">
        <v>46</v>
      </c>
      <c r="F1067" s="4" t="s">
        <v>18</v>
      </c>
      <c r="G1067" s="5">
        <v>3737336</v>
      </c>
      <c r="H1067" s="5">
        <v>301913</v>
      </c>
      <c r="I1067" s="4">
        <v>113</v>
      </c>
      <c r="J1067" s="4">
        <v>1.22</v>
      </c>
      <c r="K1067" s="4">
        <v>3.4</v>
      </c>
      <c r="L1067" s="4">
        <v>4.51</v>
      </c>
      <c r="M1067" s="4">
        <v>2.99</v>
      </c>
      <c r="N1067" s="4">
        <v>167</v>
      </c>
      <c r="O1067" s="4" t="s">
        <v>47</v>
      </c>
      <c r="P1067" s="5">
        <v>624135112</v>
      </c>
    </row>
    <row r="1068" spans="1:16" x14ac:dyDescent="0.25">
      <c r="A1068" s="4">
        <v>2026</v>
      </c>
      <c r="B1068" s="4">
        <v>3</v>
      </c>
      <c r="C1068" s="12" t="s">
        <v>30</v>
      </c>
      <c r="D1068" s="4" t="s">
        <v>27</v>
      </c>
      <c r="E1068" s="4" t="s">
        <v>48</v>
      </c>
      <c r="F1068" s="4" t="s">
        <v>21</v>
      </c>
      <c r="G1068" s="5">
        <v>1177355</v>
      </c>
      <c r="H1068" s="5">
        <v>146783</v>
      </c>
      <c r="I1068" s="4">
        <v>149</v>
      </c>
      <c r="J1068" s="4">
        <v>1.91</v>
      </c>
      <c r="K1068" s="4">
        <v>7.42</v>
      </c>
      <c r="L1068" s="4">
        <v>9.3800000000000008</v>
      </c>
      <c r="M1068" s="4">
        <v>3.99</v>
      </c>
      <c r="N1068" s="4">
        <v>110</v>
      </c>
      <c r="O1068" s="4" t="s">
        <v>49</v>
      </c>
      <c r="P1068" s="5">
        <v>129509050</v>
      </c>
    </row>
    <row r="1069" spans="1:16" x14ac:dyDescent="0.25">
      <c r="A1069" s="4">
        <v>2026</v>
      </c>
      <c r="B1069" s="4">
        <v>1</v>
      </c>
      <c r="C1069" s="12" t="s">
        <v>30</v>
      </c>
      <c r="D1069" s="4" t="s">
        <v>37</v>
      </c>
      <c r="E1069" s="4" t="s">
        <v>48</v>
      </c>
      <c r="F1069" s="4" t="s">
        <v>18</v>
      </c>
      <c r="G1069" s="5">
        <v>4713651</v>
      </c>
      <c r="H1069" s="5">
        <v>159864</v>
      </c>
      <c r="I1069" s="4">
        <v>48</v>
      </c>
      <c r="J1069" s="4">
        <v>1.03</v>
      </c>
      <c r="K1069" s="4">
        <v>7.48</v>
      </c>
      <c r="L1069" s="4">
        <v>6.36</v>
      </c>
      <c r="M1069" s="4">
        <v>8.91</v>
      </c>
      <c r="N1069" s="4">
        <v>489</v>
      </c>
      <c r="O1069" s="4" t="s">
        <v>47</v>
      </c>
      <c r="P1069" s="5">
        <v>2304975339</v>
      </c>
    </row>
    <row r="1070" spans="1:16" x14ac:dyDescent="0.25">
      <c r="A1070" s="4">
        <v>2026</v>
      </c>
      <c r="B1070" s="4">
        <v>3</v>
      </c>
      <c r="C1070" s="12" t="s">
        <v>28</v>
      </c>
      <c r="D1070" s="4" t="s">
        <v>31</v>
      </c>
      <c r="E1070" s="4" t="s">
        <v>48</v>
      </c>
      <c r="F1070" s="4" t="s">
        <v>25</v>
      </c>
      <c r="G1070" s="5">
        <v>4323216</v>
      </c>
      <c r="H1070" s="5">
        <v>287564</v>
      </c>
      <c r="I1070" s="4">
        <v>60</v>
      </c>
      <c r="J1070" s="4">
        <v>1.1299999999999999</v>
      </c>
      <c r="K1070" s="4">
        <v>4</v>
      </c>
      <c r="L1070" s="4">
        <v>7.08</v>
      </c>
      <c r="M1070" s="4">
        <v>1.88</v>
      </c>
      <c r="N1070" s="4">
        <v>307</v>
      </c>
      <c r="O1070" s="4" t="s">
        <v>47</v>
      </c>
      <c r="P1070" s="5">
        <v>1327227312</v>
      </c>
    </row>
    <row r="1071" spans="1:16" x14ac:dyDescent="0.25">
      <c r="A1071" s="4">
        <v>2025</v>
      </c>
      <c r="B1071" s="4">
        <v>1</v>
      </c>
      <c r="C1071" s="12" t="s">
        <v>30</v>
      </c>
      <c r="D1071" s="4" t="s">
        <v>37</v>
      </c>
      <c r="E1071" s="4" t="s">
        <v>48</v>
      </c>
      <c r="F1071" s="4" t="s">
        <v>21</v>
      </c>
      <c r="G1071" s="5">
        <v>3617311</v>
      </c>
      <c r="H1071" s="5">
        <v>143827</v>
      </c>
      <c r="I1071" s="4">
        <v>160</v>
      </c>
      <c r="J1071" s="4">
        <v>1.18</v>
      </c>
      <c r="K1071" s="4">
        <v>6.06</v>
      </c>
      <c r="L1071" s="4">
        <v>4.49</v>
      </c>
      <c r="M1071" s="4">
        <v>8.94</v>
      </c>
      <c r="N1071" s="4">
        <v>129</v>
      </c>
      <c r="O1071" s="4" t="s">
        <v>47</v>
      </c>
      <c r="P1071" s="5">
        <v>466633119</v>
      </c>
    </row>
    <row r="1072" spans="1:16" x14ac:dyDescent="0.25">
      <c r="A1072" s="4">
        <v>2025</v>
      </c>
      <c r="B1072" s="4">
        <v>1</v>
      </c>
      <c r="C1072" s="12" t="s">
        <v>34</v>
      </c>
      <c r="D1072" s="4" t="s">
        <v>20</v>
      </c>
      <c r="E1072" s="4" t="s">
        <v>48</v>
      </c>
      <c r="F1072" s="4" t="s">
        <v>25</v>
      </c>
      <c r="G1072" s="5">
        <v>2631931</v>
      </c>
      <c r="H1072" s="5">
        <v>447542</v>
      </c>
      <c r="I1072" s="4">
        <v>35</v>
      </c>
      <c r="J1072" s="4">
        <v>1.94</v>
      </c>
      <c r="K1072" s="4">
        <v>6.61</v>
      </c>
      <c r="L1072" s="4">
        <v>4.2</v>
      </c>
      <c r="M1072" s="4">
        <v>4.83</v>
      </c>
      <c r="N1072" s="4">
        <v>516</v>
      </c>
      <c r="O1072" s="4" t="s">
        <v>49</v>
      </c>
      <c r="P1072" s="5">
        <v>1358076396</v>
      </c>
    </row>
    <row r="1073" spans="1:16" x14ac:dyDescent="0.25">
      <c r="A1073" s="4">
        <v>2026</v>
      </c>
      <c r="B1073" s="4">
        <v>3</v>
      </c>
      <c r="C1073" s="12" t="s">
        <v>30</v>
      </c>
      <c r="D1073" s="4" t="s">
        <v>22</v>
      </c>
      <c r="E1073" s="4" t="s">
        <v>48</v>
      </c>
      <c r="F1073" s="4" t="s">
        <v>25</v>
      </c>
      <c r="G1073" s="5">
        <v>1507675</v>
      </c>
      <c r="H1073" s="5">
        <v>141470</v>
      </c>
      <c r="I1073" s="4">
        <v>177</v>
      </c>
      <c r="J1073" s="4">
        <v>1.9</v>
      </c>
      <c r="K1073" s="4">
        <v>3.33</v>
      </c>
      <c r="L1073" s="4">
        <v>8.11</v>
      </c>
      <c r="M1073" s="4">
        <v>3.08</v>
      </c>
      <c r="N1073" s="4">
        <v>94</v>
      </c>
      <c r="O1073" s="4" t="s">
        <v>47</v>
      </c>
      <c r="P1073" s="5">
        <v>141721450</v>
      </c>
    </row>
    <row r="1074" spans="1:16" x14ac:dyDescent="0.25">
      <c r="A1074" s="4">
        <v>2026</v>
      </c>
      <c r="B1074" s="4">
        <v>1</v>
      </c>
      <c r="C1074" s="12" t="s">
        <v>19</v>
      </c>
      <c r="D1074" s="4" t="s">
        <v>27</v>
      </c>
      <c r="E1074" s="4" t="s">
        <v>48</v>
      </c>
      <c r="F1074" s="4" t="s">
        <v>15</v>
      </c>
      <c r="G1074" s="5">
        <v>2906842</v>
      </c>
      <c r="H1074" s="5">
        <v>328006</v>
      </c>
      <c r="I1074" s="4">
        <v>84</v>
      </c>
      <c r="J1074" s="4">
        <v>1.21</v>
      </c>
      <c r="K1074" s="4">
        <v>5.68</v>
      </c>
      <c r="L1074" s="4">
        <v>6.63</v>
      </c>
      <c r="M1074" s="4">
        <v>9.77</v>
      </c>
      <c r="N1074" s="4">
        <v>244</v>
      </c>
      <c r="O1074" s="4" t="s">
        <v>49</v>
      </c>
      <c r="P1074" s="5">
        <v>709269448</v>
      </c>
    </row>
    <row r="1075" spans="1:16" x14ac:dyDescent="0.25">
      <c r="A1075" s="4">
        <v>2026</v>
      </c>
      <c r="B1075" s="4">
        <v>3</v>
      </c>
      <c r="C1075" s="12" t="s">
        <v>36</v>
      </c>
      <c r="D1075" s="4" t="s">
        <v>37</v>
      </c>
      <c r="E1075" s="4" t="s">
        <v>48</v>
      </c>
      <c r="F1075" s="4" t="s">
        <v>21</v>
      </c>
      <c r="G1075" s="5">
        <v>2154912</v>
      </c>
      <c r="H1075" s="5">
        <v>279047</v>
      </c>
      <c r="I1075" s="4">
        <v>175</v>
      </c>
      <c r="J1075" s="4">
        <v>1.42</v>
      </c>
      <c r="K1075" s="4">
        <v>3.54</v>
      </c>
      <c r="L1075" s="4">
        <v>7.41</v>
      </c>
      <c r="M1075" s="4">
        <v>3.22</v>
      </c>
      <c r="N1075" s="4">
        <v>476</v>
      </c>
      <c r="O1075" s="4" t="s">
        <v>49</v>
      </c>
      <c r="P1075" s="5">
        <v>1025738112</v>
      </c>
    </row>
    <row r="1076" spans="1:16" x14ac:dyDescent="0.25">
      <c r="A1076" s="4">
        <v>2026</v>
      </c>
      <c r="B1076" s="4">
        <v>2</v>
      </c>
      <c r="C1076" s="12" t="s">
        <v>36</v>
      </c>
      <c r="D1076" s="4" t="s">
        <v>13</v>
      </c>
      <c r="E1076" s="4" t="s">
        <v>50</v>
      </c>
      <c r="F1076" s="4" t="s">
        <v>21</v>
      </c>
      <c r="G1076" s="5">
        <v>4753867</v>
      </c>
      <c r="H1076" s="5">
        <v>139603</v>
      </c>
      <c r="I1076" s="4">
        <v>93</v>
      </c>
      <c r="J1076" s="4">
        <v>1.48</v>
      </c>
      <c r="K1076" s="4">
        <v>3.2</v>
      </c>
      <c r="L1076" s="4">
        <v>7.84</v>
      </c>
      <c r="M1076" s="4">
        <v>4.67</v>
      </c>
      <c r="N1076" s="4">
        <v>500</v>
      </c>
      <c r="O1076" s="4" t="s">
        <v>49</v>
      </c>
      <c r="P1076" s="5">
        <v>2376933500</v>
      </c>
    </row>
    <row r="1077" spans="1:16" x14ac:dyDescent="0.25">
      <c r="A1077" s="4">
        <v>2026</v>
      </c>
      <c r="B1077" s="4">
        <v>1</v>
      </c>
      <c r="C1077" s="12" t="s">
        <v>30</v>
      </c>
      <c r="D1077" s="4" t="s">
        <v>20</v>
      </c>
      <c r="E1077" s="4" t="s">
        <v>48</v>
      </c>
      <c r="F1077" s="4" t="s">
        <v>21</v>
      </c>
      <c r="G1077" s="5">
        <v>1019402</v>
      </c>
      <c r="H1077" s="5">
        <v>132329</v>
      </c>
      <c r="I1077" s="4">
        <v>49</v>
      </c>
      <c r="J1077" s="4">
        <v>1.9</v>
      </c>
      <c r="K1077" s="4">
        <v>6.85</v>
      </c>
      <c r="L1077" s="4">
        <v>6.14</v>
      </c>
      <c r="M1077" s="4">
        <v>6.59</v>
      </c>
      <c r="N1077" s="4">
        <v>707</v>
      </c>
      <c r="O1077" s="4" t="s">
        <v>49</v>
      </c>
      <c r="P1077" s="5">
        <v>720717214</v>
      </c>
    </row>
    <row r="1078" spans="1:16" x14ac:dyDescent="0.25">
      <c r="A1078" s="4">
        <v>2025</v>
      </c>
      <c r="B1078" s="4">
        <v>2</v>
      </c>
      <c r="C1078" s="12" t="s">
        <v>28</v>
      </c>
      <c r="D1078" s="4" t="s">
        <v>32</v>
      </c>
      <c r="E1078" s="4" t="s">
        <v>46</v>
      </c>
      <c r="F1078" s="4" t="s">
        <v>15</v>
      </c>
      <c r="G1078" s="5">
        <v>3730254</v>
      </c>
      <c r="H1078" s="5">
        <v>123325</v>
      </c>
      <c r="I1078" s="4">
        <v>176</v>
      </c>
      <c r="J1078" s="4">
        <v>1</v>
      </c>
      <c r="K1078" s="4">
        <v>5.13</v>
      </c>
      <c r="L1078" s="4">
        <v>4.38</v>
      </c>
      <c r="M1078" s="4">
        <v>2.87</v>
      </c>
      <c r="N1078" s="4">
        <v>648</v>
      </c>
      <c r="O1078" s="4" t="s">
        <v>49</v>
      </c>
      <c r="P1078" s="5">
        <v>2417204592</v>
      </c>
    </row>
    <row r="1079" spans="1:16" x14ac:dyDescent="0.25">
      <c r="A1079" s="4">
        <v>2025</v>
      </c>
      <c r="B1079" s="4">
        <v>12</v>
      </c>
      <c r="C1079" s="12" t="s">
        <v>36</v>
      </c>
      <c r="D1079" s="4" t="s">
        <v>32</v>
      </c>
      <c r="E1079" s="4" t="s">
        <v>46</v>
      </c>
      <c r="F1079" s="4" t="s">
        <v>15</v>
      </c>
      <c r="G1079" s="5">
        <v>4733164</v>
      </c>
      <c r="H1079" s="5">
        <v>480628</v>
      </c>
      <c r="I1079" s="4">
        <v>95</v>
      </c>
      <c r="J1079" s="4">
        <v>1.73</v>
      </c>
      <c r="K1079" s="4">
        <v>6.32</v>
      </c>
      <c r="L1079" s="4">
        <v>9.1300000000000008</v>
      </c>
      <c r="M1079" s="4">
        <v>5.99</v>
      </c>
      <c r="N1079" s="4">
        <v>57</v>
      </c>
      <c r="O1079" s="4" t="s">
        <v>47</v>
      </c>
      <c r="P1079" s="5">
        <v>269790348</v>
      </c>
    </row>
    <row r="1080" spans="1:16" x14ac:dyDescent="0.25">
      <c r="A1080" s="4">
        <v>2026</v>
      </c>
      <c r="B1080" s="4">
        <v>3</v>
      </c>
      <c r="C1080" s="12" t="s">
        <v>28</v>
      </c>
      <c r="D1080" s="4" t="s">
        <v>22</v>
      </c>
      <c r="E1080" s="4" t="s">
        <v>48</v>
      </c>
      <c r="F1080" s="4" t="s">
        <v>15</v>
      </c>
      <c r="G1080" s="5">
        <v>3036910</v>
      </c>
      <c r="H1080" s="5">
        <v>196873</v>
      </c>
      <c r="I1080" s="4">
        <v>56</v>
      </c>
      <c r="J1080" s="4">
        <v>1.82</v>
      </c>
      <c r="K1080" s="4">
        <v>6.34</v>
      </c>
      <c r="L1080" s="4">
        <v>7.28</v>
      </c>
      <c r="M1080" s="4">
        <v>6.3</v>
      </c>
      <c r="N1080" s="4">
        <v>747</v>
      </c>
      <c r="O1080" s="4" t="s">
        <v>49</v>
      </c>
      <c r="P1080" s="5">
        <v>2268571770</v>
      </c>
    </row>
    <row r="1081" spans="1:16" x14ac:dyDescent="0.25">
      <c r="A1081" s="4">
        <v>2026</v>
      </c>
      <c r="B1081" s="4">
        <v>2</v>
      </c>
      <c r="C1081" s="12" t="s">
        <v>19</v>
      </c>
      <c r="D1081" s="4" t="s">
        <v>27</v>
      </c>
      <c r="E1081" s="4" t="s">
        <v>48</v>
      </c>
      <c r="F1081" s="4" t="s">
        <v>15</v>
      </c>
      <c r="G1081" s="5">
        <v>2793441</v>
      </c>
      <c r="H1081" s="5">
        <v>193894</v>
      </c>
      <c r="I1081" s="4">
        <v>144</v>
      </c>
      <c r="J1081" s="4">
        <v>1.74</v>
      </c>
      <c r="K1081" s="4">
        <v>3.03</v>
      </c>
      <c r="L1081" s="4">
        <v>8.16</v>
      </c>
      <c r="M1081" s="4">
        <v>9.2799999999999994</v>
      </c>
      <c r="N1081" s="4">
        <v>226</v>
      </c>
      <c r="O1081" s="4" t="s">
        <v>49</v>
      </c>
      <c r="P1081" s="5">
        <v>631317666</v>
      </c>
    </row>
    <row r="1082" spans="1:16" x14ac:dyDescent="0.25">
      <c r="A1082" s="4">
        <v>2025</v>
      </c>
      <c r="B1082" s="4">
        <v>4</v>
      </c>
      <c r="C1082" s="12" t="s">
        <v>30</v>
      </c>
      <c r="D1082" s="4" t="s">
        <v>16</v>
      </c>
      <c r="E1082" s="4" t="s">
        <v>48</v>
      </c>
      <c r="F1082" s="4" t="s">
        <v>25</v>
      </c>
      <c r="G1082" s="5">
        <v>3959032</v>
      </c>
      <c r="H1082" s="5">
        <v>440123</v>
      </c>
      <c r="I1082" s="4">
        <v>151</v>
      </c>
      <c r="J1082" s="4">
        <v>1.63</v>
      </c>
      <c r="K1082" s="4">
        <v>6.47</v>
      </c>
      <c r="L1082" s="4">
        <v>4.6399999999999997</v>
      </c>
      <c r="M1082" s="4">
        <v>5.29</v>
      </c>
      <c r="N1082" s="4">
        <v>387</v>
      </c>
      <c r="O1082" s="4" t="s">
        <v>47</v>
      </c>
      <c r="P1082" s="5">
        <v>1532145384</v>
      </c>
    </row>
    <row r="1083" spans="1:16" x14ac:dyDescent="0.25">
      <c r="A1083" s="4">
        <v>2025</v>
      </c>
      <c r="B1083" s="4">
        <v>11</v>
      </c>
      <c r="C1083" s="12" t="s">
        <v>28</v>
      </c>
      <c r="D1083" s="4" t="s">
        <v>20</v>
      </c>
      <c r="E1083" s="4" t="s">
        <v>48</v>
      </c>
      <c r="F1083" s="4" t="s">
        <v>18</v>
      </c>
      <c r="G1083" s="5">
        <v>2990237</v>
      </c>
      <c r="H1083" s="5">
        <v>499808</v>
      </c>
      <c r="I1083" s="4">
        <v>120</v>
      </c>
      <c r="J1083" s="4">
        <v>1.53</v>
      </c>
      <c r="K1083" s="4">
        <v>4.63</v>
      </c>
      <c r="L1083" s="4">
        <v>5.9</v>
      </c>
      <c r="M1083" s="4">
        <v>5.0199999999999996</v>
      </c>
      <c r="N1083" s="4">
        <v>620</v>
      </c>
      <c r="O1083" s="4" t="s">
        <v>49</v>
      </c>
      <c r="P1083" s="5">
        <v>1853946940</v>
      </c>
    </row>
    <row r="1084" spans="1:16" x14ac:dyDescent="0.25">
      <c r="A1084" s="4">
        <v>2025</v>
      </c>
      <c r="B1084" s="4">
        <v>8</v>
      </c>
      <c r="C1084" s="12" t="s">
        <v>19</v>
      </c>
      <c r="D1084" s="4" t="s">
        <v>37</v>
      </c>
      <c r="E1084" s="4" t="s">
        <v>48</v>
      </c>
      <c r="F1084" s="4" t="s">
        <v>15</v>
      </c>
      <c r="G1084" s="5">
        <v>2090611</v>
      </c>
      <c r="H1084" s="5">
        <v>176033</v>
      </c>
      <c r="I1084" s="4">
        <v>184</v>
      </c>
      <c r="J1084" s="4">
        <v>1.24</v>
      </c>
      <c r="K1084" s="4">
        <v>6.42</v>
      </c>
      <c r="L1084" s="4">
        <v>8.02</v>
      </c>
      <c r="M1084" s="4">
        <v>9.67</v>
      </c>
      <c r="N1084" s="4">
        <v>190</v>
      </c>
      <c r="O1084" s="4" t="s">
        <v>47</v>
      </c>
      <c r="P1084" s="5">
        <v>397216090</v>
      </c>
    </row>
    <row r="1085" spans="1:16" x14ac:dyDescent="0.25">
      <c r="A1085" s="4">
        <v>2026</v>
      </c>
      <c r="B1085" s="4">
        <v>2</v>
      </c>
      <c r="C1085" s="12" t="s">
        <v>19</v>
      </c>
      <c r="D1085" s="4" t="s">
        <v>22</v>
      </c>
      <c r="E1085" s="4" t="s">
        <v>48</v>
      </c>
      <c r="F1085" s="4" t="s">
        <v>21</v>
      </c>
      <c r="G1085" s="5">
        <v>2142663</v>
      </c>
      <c r="H1085" s="5">
        <v>428861</v>
      </c>
      <c r="I1085" s="4">
        <v>62</v>
      </c>
      <c r="J1085" s="4">
        <v>1.45</v>
      </c>
      <c r="K1085" s="4">
        <v>7.66</v>
      </c>
      <c r="L1085" s="4">
        <v>8.58</v>
      </c>
      <c r="M1085" s="4">
        <v>3.8</v>
      </c>
      <c r="N1085" s="4">
        <v>359</v>
      </c>
      <c r="O1085" s="4" t="s">
        <v>47</v>
      </c>
      <c r="P1085" s="5">
        <v>769216017</v>
      </c>
    </row>
    <row r="1086" spans="1:16" x14ac:dyDescent="0.25">
      <c r="A1086" s="4">
        <v>2025</v>
      </c>
      <c r="B1086" s="4">
        <v>4</v>
      </c>
      <c r="C1086" s="12" t="s">
        <v>19</v>
      </c>
      <c r="D1086" s="4" t="s">
        <v>24</v>
      </c>
      <c r="E1086" s="4" t="s">
        <v>48</v>
      </c>
      <c r="F1086" s="4" t="s">
        <v>15</v>
      </c>
      <c r="G1086" s="5">
        <v>3021762</v>
      </c>
      <c r="H1086" s="5">
        <v>429766</v>
      </c>
      <c r="I1086" s="4">
        <v>62</v>
      </c>
      <c r="J1086" s="4">
        <v>1.74</v>
      </c>
      <c r="K1086" s="4">
        <v>7.68</v>
      </c>
      <c r="L1086" s="4">
        <v>7.96</v>
      </c>
      <c r="M1086" s="4">
        <v>7.52</v>
      </c>
      <c r="N1086" s="4">
        <v>181</v>
      </c>
      <c r="O1086" s="4" t="s">
        <v>49</v>
      </c>
      <c r="P1086" s="5">
        <v>546938922</v>
      </c>
    </row>
    <row r="1087" spans="1:16" x14ac:dyDescent="0.25">
      <c r="A1087" s="4">
        <v>2026</v>
      </c>
      <c r="B1087" s="4">
        <v>3</v>
      </c>
      <c r="C1087" s="12" t="s">
        <v>34</v>
      </c>
      <c r="D1087" s="4" t="s">
        <v>32</v>
      </c>
      <c r="E1087" s="4" t="s">
        <v>46</v>
      </c>
      <c r="F1087" s="4" t="s">
        <v>21</v>
      </c>
      <c r="G1087" s="5">
        <v>872664</v>
      </c>
      <c r="H1087" s="5">
        <v>466567</v>
      </c>
      <c r="I1087" s="4">
        <v>76</v>
      </c>
      <c r="J1087" s="4">
        <v>1.31</v>
      </c>
      <c r="K1087" s="4">
        <v>7.94</v>
      </c>
      <c r="L1087" s="4">
        <v>7.44</v>
      </c>
      <c r="M1087" s="4">
        <v>9.5</v>
      </c>
      <c r="N1087" s="4">
        <v>650</v>
      </c>
      <c r="O1087" s="4" t="s">
        <v>47</v>
      </c>
      <c r="P1087" s="5">
        <v>567231600</v>
      </c>
    </row>
    <row r="1088" spans="1:16" x14ac:dyDescent="0.25">
      <c r="A1088" s="4">
        <v>2025</v>
      </c>
      <c r="B1088" s="4">
        <v>9</v>
      </c>
      <c r="C1088" s="12" t="s">
        <v>36</v>
      </c>
      <c r="D1088" s="4" t="s">
        <v>22</v>
      </c>
      <c r="E1088" s="4" t="s">
        <v>48</v>
      </c>
      <c r="F1088" s="4" t="s">
        <v>18</v>
      </c>
      <c r="G1088" s="5">
        <v>3218660</v>
      </c>
      <c r="H1088" s="5">
        <v>159600</v>
      </c>
      <c r="I1088" s="4">
        <v>66</v>
      </c>
      <c r="J1088" s="4">
        <v>1.96</v>
      </c>
      <c r="K1088" s="4">
        <v>6.71</v>
      </c>
      <c r="L1088" s="4">
        <v>5.43</v>
      </c>
      <c r="M1088" s="4">
        <v>6.8</v>
      </c>
      <c r="N1088" s="4">
        <v>66</v>
      </c>
      <c r="O1088" s="4" t="s">
        <v>47</v>
      </c>
      <c r="P1088" s="5">
        <v>212431560</v>
      </c>
    </row>
    <row r="1089" spans="1:16" x14ac:dyDescent="0.25">
      <c r="A1089" s="4">
        <v>2025</v>
      </c>
      <c r="B1089" s="4">
        <v>12</v>
      </c>
      <c r="C1089" s="12" t="s">
        <v>28</v>
      </c>
      <c r="D1089" s="4" t="s">
        <v>31</v>
      </c>
      <c r="E1089" s="4" t="s">
        <v>48</v>
      </c>
      <c r="F1089" s="4" t="s">
        <v>21</v>
      </c>
      <c r="G1089" s="5">
        <v>4211671</v>
      </c>
      <c r="H1089" s="5">
        <v>340478</v>
      </c>
      <c r="I1089" s="4">
        <v>153</v>
      </c>
      <c r="J1089" s="4">
        <v>1.33</v>
      </c>
      <c r="K1089" s="4">
        <v>7.07</v>
      </c>
      <c r="L1089" s="4">
        <v>4.84</v>
      </c>
      <c r="M1089" s="4">
        <v>3.05</v>
      </c>
      <c r="N1089" s="4">
        <v>461</v>
      </c>
      <c r="O1089" s="4" t="s">
        <v>49</v>
      </c>
      <c r="P1089" s="5">
        <v>1941580331</v>
      </c>
    </row>
    <row r="1090" spans="1:16" x14ac:dyDescent="0.25">
      <c r="A1090" s="4">
        <v>2026</v>
      </c>
      <c r="B1090" s="4">
        <v>1</v>
      </c>
      <c r="C1090" s="12" t="s">
        <v>30</v>
      </c>
      <c r="D1090" s="4" t="s">
        <v>31</v>
      </c>
      <c r="E1090" s="4" t="s">
        <v>48</v>
      </c>
      <c r="F1090" s="4" t="s">
        <v>15</v>
      </c>
      <c r="G1090" s="5">
        <v>4903073</v>
      </c>
      <c r="H1090" s="5">
        <v>271993</v>
      </c>
      <c r="I1090" s="4">
        <v>89</v>
      </c>
      <c r="J1090" s="4">
        <v>1.73</v>
      </c>
      <c r="K1090" s="4">
        <v>7.08</v>
      </c>
      <c r="L1090" s="4">
        <v>5.31</v>
      </c>
      <c r="M1090" s="4">
        <v>9.76</v>
      </c>
      <c r="N1090" s="4">
        <v>424</v>
      </c>
      <c r="O1090" s="4" t="s">
        <v>47</v>
      </c>
      <c r="P1090" s="5">
        <v>2078902952</v>
      </c>
    </row>
    <row r="1091" spans="1:16" x14ac:dyDescent="0.25">
      <c r="A1091" s="4">
        <v>2025</v>
      </c>
      <c r="B1091" s="4">
        <v>3</v>
      </c>
      <c r="C1091" s="12" t="s">
        <v>36</v>
      </c>
      <c r="D1091" s="4" t="s">
        <v>29</v>
      </c>
      <c r="E1091" s="4" t="s">
        <v>46</v>
      </c>
      <c r="F1091" s="4" t="s">
        <v>15</v>
      </c>
      <c r="G1091" s="5">
        <v>1936994</v>
      </c>
      <c r="H1091" s="5">
        <v>488330</v>
      </c>
      <c r="I1091" s="4">
        <v>141</v>
      </c>
      <c r="J1091" s="4">
        <v>1.89</v>
      </c>
      <c r="K1091" s="4">
        <v>4.0999999999999996</v>
      </c>
      <c r="L1091" s="4">
        <v>7.74</v>
      </c>
      <c r="M1091" s="4">
        <v>2</v>
      </c>
      <c r="N1091" s="4">
        <v>351</v>
      </c>
      <c r="O1091" s="4" t="s">
        <v>49</v>
      </c>
      <c r="P1091" s="5">
        <v>679884894</v>
      </c>
    </row>
    <row r="1092" spans="1:16" x14ac:dyDescent="0.25">
      <c r="A1092" s="4">
        <v>2025</v>
      </c>
      <c r="B1092" s="4">
        <v>12</v>
      </c>
      <c r="C1092" s="12" t="s">
        <v>34</v>
      </c>
      <c r="D1092" s="4" t="s">
        <v>37</v>
      </c>
      <c r="E1092" s="4" t="s">
        <v>48</v>
      </c>
      <c r="F1092" s="4" t="s">
        <v>25</v>
      </c>
      <c r="G1092" s="5">
        <v>1205845</v>
      </c>
      <c r="H1092" s="5">
        <v>492189</v>
      </c>
      <c r="I1092" s="4">
        <v>128</v>
      </c>
      <c r="J1092" s="4">
        <v>1.28</v>
      </c>
      <c r="K1092" s="4">
        <v>7.51</v>
      </c>
      <c r="L1092" s="4">
        <v>6</v>
      </c>
      <c r="M1092" s="4">
        <v>9.73</v>
      </c>
      <c r="N1092" s="4">
        <v>330</v>
      </c>
      <c r="O1092" s="4" t="s">
        <v>49</v>
      </c>
      <c r="P1092" s="5">
        <v>397928850</v>
      </c>
    </row>
    <row r="1093" spans="1:16" x14ac:dyDescent="0.25">
      <c r="A1093" s="4">
        <v>2025</v>
      </c>
      <c r="B1093" s="4">
        <v>6</v>
      </c>
      <c r="C1093" s="12" t="s">
        <v>34</v>
      </c>
      <c r="D1093" s="4" t="s">
        <v>37</v>
      </c>
      <c r="E1093" s="4" t="s">
        <v>48</v>
      </c>
      <c r="F1093" s="4" t="s">
        <v>21</v>
      </c>
      <c r="G1093" s="5">
        <v>2185249</v>
      </c>
      <c r="H1093" s="5">
        <v>344883</v>
      </c>
      <c r="I1093" s="4">
        <v>163</v>
      </c>
      <c r="J1093" s="4">
        <v>1.51</v>
      </c>
      <c r="K1093" s="4">
        <v>3.05</v>
      </c>
      <c r="L1093" s="4">
        <v>4.82</v>
      </c>
      <c r="M1093" s="4">
        <v>7.41</v>
      </c>
      <c r="N1093" s="4">
        <v>668</v>
      </c>
      <c r="O1093" s="4" t="s">
        <v>49</v>
      </c>
      <c r="P1093" s="5">
        <v>1459746332</v>
      </c>
    </row>
    <row r="1094" spans="1:16" x14ac:dyDescent="0.25">
      <c r="A1094" s="4">
        <v>2026</v>
      </c>
      <c r="B1094" s="4">
        <v>1</v>
      </c>
      <c r="C1094" s="12" t="s">
        <v>34</v>
      </c>
      <c r="D1094" s="4" t="s">
        <v>37</v>
      </c>
      <c r="E1094" s="4" t="s">
        <v>48</v>
      </c>
      <c r="F1094" s="4" t="s">
        <v>21</v>
      </c>
      <c r="G1094" s="5">
        <v>4172851</v>
      </c>
      <c r="H1094" s="5">
        <v>470238</v>
      </c>
      <c r="I1094" s="4">
        <v>42</v>
      </c>
      <c r="J1094" s="4">
        <v>1.32</v>
      </c>
      <c r="K1094" s="4">
        <v>4.1500000000000004</v>
      </c>
      <c r="L1094" s="4">
        <v>7.04</v>
      </c>
      <c r="M1094" s="4">
        <v>7.63</v>
      </c>
      <c r="N1094" s="4">
        <v>300</v>
      </c>
      <c r="O1094" s="4" t="s">
        <v>49</v>
      </c>
      <c r="P1094" s="5">
        <v>1251855300</v>
      </c>
    </row>
    <row r="1095" spans="1:16" x14ac:dyDescent="0.25">
      <c r="A1095" s="4">
        <v>2026</v>
      </c>
      <c r="B1095" s="4">
        <v>2</v>
      </c>
      <c r="C1095" s="12" t="s">
        <v>19</v>
      </c>
      <c r="D1095" s="4" t="s">
        <v>22</v>
      </c>
      <c r="E1095" s="4" t="s">
        <v>48</v>
      </c>
      <c r="F1095" s="4" t="s">
        <v>25</v>
      </c>
      <c r="G1095" s="5">
        <v>4717116</v>
      </c>
      <c r="H1095" s="5">
        <v>331622</v>
      </c>
      <c r="I1095" s="4">
        <v>48</v>
      </c>
      <c r="J1095" s="4">
        <v>1.48</v>
      </c>
      <c r="K1095" s="4">
        <v>6.54</v>
      </c>
      <c r="L1095" s="4">
        <v>4.26</v>
      </c>
      <c r="M1095" s="4">
        <v>8.92</v>
      </c>
      <c r="N1095" s="4">
        <v>715</v>
      </c>
      <c r="O1095" s="4" t="s">
        <v>49</v>
      </c>
      <c r="P1095" s="5">
        <v>3372737940</v>
      </c>
    </row>
    <row r="1096" spans="1:16" x14ac:dyDescent="0.25">
      <c r="A1096" s="4">
        <v>2026</v>
      </c>
      <c r="B1096" s="4">
        <v>3</v>
      </c>
      <c r="C1096" s="12" t="s">
        <v>28</v>
      </c>
      <c r="D1096" s="4" t="s">
        <v>16</v>
      </c>
      <c r="E1096" s="4" t="s">
        <v>48</v>
      </c>
      <c r="F1096" s="4" t="s">
        <v>25</v>
      </c>
      <c r="G1096" s="5">
        <v>4025008</v>
      </c>
      <c r="H1096" s="5">
        <v>265736</v>
      </c>
      <c r="I1096" s="4">
        <v>155</v>
      </c>
      <c r="J1096" s="4">
        <v>1.02</v>
      </c>
      <c r="K1096" s="4">
        <v>5.0599999999999996</v>
      </c>
      <c r="L1096" s="4">
        <v>6.94</v>
      </c>
      <c r="M1096" s="4">
        <v>3.19</v>
      </c>
      <c r="N1096" s="4">
        <v>682</v>
      </c>
      <c r="O1096" s="4" t="s">
        <v>49</v>
      </c>
      <c r="P1096" s="5">
        <v>2745055456</v>
      </c>
    </row>
    <row r="1097" spans="1:16" x14ac:dyDescent="0.25">
      <c r="A1097" s="4">
        <v>2026</v>
      </c>
      <c r="B1097" s="4">
        <v>2</v>
      </c>
      <c r="C1097" s="12" t="s">
        <v>34</v>
      </c>
      <c r="D1097" s="4" t="s">
        <v>37</v>
      </c>
      <c r="E1097" s="4" t="s">
        <v>48</v>
      </c>
      <c r="F1097" s="4" t="s">
        <v>15</v>
      </c>
      <c r="G1097" s="5">
        <v>4881818</v>
      </c>
      <c r="H1097" s="5">
        <v>298929</v>
      </c>
      <c r="I1097" s="4">
        <v>76</v>
      </c>
      <c r="J1097" s="4">
        <v>1.49</v>
      </c>
      <c r="K1097" s="4">
        <v>3.93</v>
      </c>
      <c r="L1097" s="4">
        <v>9.9700000000000006</v>
      </c>
      <c r="M1097" s="4">
        <v>2.16</v>
      </c>
      <c r="N1097" s="4">
        <v>518</v>
      </c>
      <c r="O1097" s="4" t="s">
        <v>47</v>
      </c>
      <c r="P1097" s="5">
        <v>2528781724</v>
      </c>
    </row>
    <row r="1098" spans="1:16" x14ac:dyDescent="0.25">
      <c r="A1098" s="4">
        <v>2025</v>
      </c>
      <c r="B1098" s="4">
        <v>1</v>
      </c>
      <c r="C1098" s="12" t="s">
        <v>28</v>
      </c>
      <c r="D1098" s="4" t="s">
        <v>16</v>
      </c>
      <c r="E1098" s="4" t="s">
        <v>48</v>
      </c>
      <c r="F1098" s="4" t="s">
        <v>15</v>
      </c>
      <c r="G1098" s="5">
        <v>2910880</v>
      </c>
      <c r="H1098" s="5">
        <v>174140</v>
      </c>
      <c r="I1098" s="4">
        <v>191</v>
      </c>
      <c r="J1098" s="4">
        <v>1.25</v>
      </c>
      <c r="K1098" s="4">
        <v>4.33</v>
      </c>
      <c r="L1098" s="4">
        <v>4.76</v>
      </c>
      <c r="M1098" s="4">
        <v>5.73</v>
      </c>
      <c r="N1098" s="4">
        <v>320</v>
      </c>
      <c r="O1098" s="4" t="s">
        <v>47</v>
      </c>
      <c r="P1098" s="5">
        <v>931481600</v>
      </c>
    </row>
    <row r="1099" spans="1:16" x14ac:dyDescent="0.25">
      <c r="A1099" s="4">
        <v>2026</v>
      </c>
      <c r="B1099" s="4">
        <v>2</v>
      </c>
      <c r="C1099" s="12" t="s">
        <v>34</v>
      </c>
      <c r="D1099" s="4" t="s">
        <v>29</v>
      </c>
      <c r="E1099" s="4" t="s">
        <v>46</v>
      </c>
      <c r="F1099" s="4" t="s">
        <v>21</v>
      </c>
      <c r="G1099" s="5">
        <v>4387192</v>
      </c>
      <c r="H1099" s="5">
        <v>207319</v>
      </c>
      <c r="I1099" s="4">
        <v>197</v>
      </c>
      <c r="J1099" s="4">
        <v>1.85</v>
      </c>
      <c r="K1099" s="4">
        <v>5.38</v>
      </c>
      <c r="L1099" s="4">
        <v>9.82</v>
      </c>
      <c r="M1099" s="4">
        <v>3.39</v>
      </c>
      <c r="N1099" s="4">
        <v>712</v>
      </c>
      <c r="O1099" s="4" t="s">
        <v>47</v>
      </c>
      <c r="P1099" s="5">
        <v>3123680704</v>
      </c>
    </row>
    <row r="1100" spans="1:16" x14ac:dyDescent="0.25">
      <c r="A1100" s="4">
        <v>2026</v>
      </c>
      <c r="B1100" s="4">
        <v>3</v>
      </c>
      <c r="C1100" s="12" t="s">
        <v>30</v>
      </c>
      <c r="D1100" s="4" t="s">
        <v>31</v>
      </c>
      <c r="E1100" s="4" t="s">
        <v>48</v>
      </c>
      <c r="F1100" s="4" t="s">
        <v>15</v>
      </c>
      <c r="G1100" s="5">
        <v>1892729</v>
      </c>
      <c r="H1100" s="5">
        <v>427060</v>
      </c>
      <c r="I1100" s="4">
        <v>147</v>
      </c>
      <c r="J1100" s="4">
        <v>1.93</v>
      </c>
      <c r="K1100" s="4">
        <v>3.61</v>
      </c>
      <c r="L1100" s="4">
        <v>6.89</v>
      </c>
      <c r="M1100" s="4">
        <v>1.83</v>
      </c>
      <c r="N1100" s="4">
        <v>658</v>
      </c>
      <c r="O1100" s="4" t="s">
        <v>49</v>
      </c>
      <c r="P1100" s="5">
        <v>1245415682</v>
      </c>
    </row>
    <row r="1101" spans="1:16" x14ac:dyDescent="0.25">
      <c r="A1101" s="4">
        <v>2025</v>
      </c>
      <c r="B1101" s="4">
        <v>12</v>
      </c>
      <c r="C1101" s="12" t="s">
        <v>19</v>
      </c>
      <c r="D1101" s="4" t="s">
        <v>32</v>
      </c>
      <c r="E1101" s="4" t="s">
        <v>46</v>
      </c>
      <c r="F1101" s="4" t="s">
        <v>15</v>
      </c>
      <c r="G1101" s="5">
        <v>1691693</v>
      </c>
      <c r="H1101" s="5">
        <v>278448</v>
      </c>
      <c r="I1101" s="4">
        <v>65</v>
      </c>
      <c r="J1101" s="4">
        <v>1.65</v>
      </c>
      <c r="K1101" s="4">
        <v>6.2</v>
      </c>
      <c r="L1101" s="4">
        <v>4.18</v>
      </c>
      <c r="M1101" s="4">
        <v>9.19</v>
      </c>
      <c r="N1101" s="4">
        <v>770</v>
      </c>
      <c r="O1101" s="4" t="s">
        <v>49</v>
      </c>
      <c r="P1101" s="5">
        <v>1302603610</v>
      </c>
    </row>
    <row r="1102" spans="1:16" x14ac:dyDescent="0.25">
      <c r="A1102" s="4">
        <v>2026</v>
      </c>
      <c r="B1102" s="4">
        <v>3</v>
      </c>
      <c r="C1102" s="12" t="s">
        <v>30</v>
      </c>
      <c r="D1102" s="4" t="s">
        <v>24</v>
      </c>
      <c r="E1102" s="4" t="s">
        <v>48</v>
      </c>
      <c r="F1102" s="4" t="s">
        <v>18</v>
      </c>
      <c r="G1102" s="5">
        <v>1237489</v>
      </c>
      <c r="H1102" s="5">
        <v>104966</v>
      </c>
      <c r="I1102" s="4">
        <v>161</v>
      </c>
      <c r="J1102" s="4">
        <v>1.98</v>
      </c>
      <c r="K1102" s="4">
        <v>6.2</v>
      </c>
      <c r="L1102" s="4">
        <v>7.12</v>
      </c>
      <c r="M1102" s="4">
        <v>4.58</v>
      </c>
      <c r="N1102" s="4">
        <v>444</v>
      </c>
      <c r="O1102" s="4" t="s">
        <v>47</v>
      </c>
      <c r="P1102" s="5">
        <v>549445116</v>
      </c>
    </row>
    <row r="1103" spans="1:16" x14ac:dyDescent="0.25">
      <c r="A1103" s="4">
        <v>2026</v>
      </c>
      <c r="B1103" s="4">
        <v>3</v>
      </c>
      <c r="C1103" s="12" t="s">
        <v>28</v>
      </c>
      <c r="D1103" s="4" t="s">
        <v>22</v>
      </c>
      <c r="E1103" s="4" t="s">
        <v>48</v>
      </c>
      <c r="F1103" s="4" t="s">
        <v>15</v>
      </c>
      <c r="G1103" s="5">
        <v>2816386</v>
      </c>
      <c r="H1103" s="5">
        <v>250879</v>
      </c>
      <c r="I1103" s="4">
        <v>130</v>
      </c>
      <c r="J1103" s="4">
        <v>1.52</v>
      </c>
      <c r="K1103" s="4">
        <v>4.7699999999999996</v>
      </c>
      <c r="L1103" s="4">
        <v>4.72</v>
      </c>
      <c r="M1103" s="4">
        <v>7.79</v>
      </c>
      <c r="N1103" s="4">
        <v>715</v>
      </c>
      <c r="O1103" s="4" t="s">
        <v>47</v>
      </c>
      <c r="P1103" s="5">
        <v>2013715990</v>
      </c>
    </row>
    <row r="1104" spans="1:16" x14ac:dyDescent="0.25">
      <c r="A1104" s="4">
        <v>2025</v>
      </c>
      <c r="B1104" s="4">
        <v>6</v>
      </c>
      <c r="C1104" s="12" t="s">
        <v>28</v>
      </c>
      <c r="D1104" s="4" t="s">
        <v>16</v>
      </c>
      <c r="E1104" s="4" t="s">
        <v>48</v>
      </c>
      <c r="F1104" s="4" t="s">
        <v>21</v>
      </c>
      <c r="G1104" s="5">
        <v>3206559</v>
      </c>
      <c r="H1104" s="5">
        <v>193992</v>
      </c>
      <c r="I1104" s="4">
        <v>124</v>
      </c>
      <c r="J1104" s="4">
        <v>1.36</v>
      </c>
      <c r="K1104" s="4">
        <v>4.33</v>
      </c>
      <c r="L1104" s="4">
        <v>8.84</v>
      </c>
      <c r="M1104" s="4">
        <v>2.4700000000000002</v>
      </c>
      <c r="N1104" s="4">
        <v>365</v>
      </c>
      <c r="O1104" s="4" t="s">
        <v>49</v>
      </c>
      <c r="P1104" s="5">
        <v>1170394035</v>
      </c>
    </row>
    <row r="1105" spans="1:16" x14ac:dyDescent="0.25">
      <c r="A1105" s="4">
        <v>2026</v>
      </c>
      <c r="B1105" s="4">
        <v>1</v>
      </c>
      <c r="C1105" s="12" t="s">
        <v>34</v>
      </c>
      <c r="D1105" s="4" t="s">
        <v>32</v>
      </c>
      <c r="E1105" s="4" t="s">
        <v>46</v>
      </c>
      <c r="F1105" s="4" t="s">
        <v>25</v>
      </c>
      <c r="G1105" s="5">
        <v>2594241</v>
      </c>
      <c r="H1105" s="5">
        <v>294070</v>
      </c>
      <c r="I1105" s="4">
        <v>112</v>
      </c>
      <c r="J1105" s="4">
        <v>1.21</v>
      </c>
      <c r="K1105" s="4">
        <v>4.88</v>
      </c>
      <c r="L1105" s="4">
        <v>7.85</v>
      </c>
      <c r="M1105" s="4">
        <v>7.44</v>
      </c>
      <c r="N1105" s="4">
        <v>610</v>
      </c>
      <c r="O1105" s="4" t="s">
        <v>47</v>
      </c>
      <c r="P1105" s="5">
        <v>1582487010</v>
      </c>
    </row>
    <row r="1106" spans="1:16" x14ac:dyDescent="0.25">
      <c r="A1106" s="4">
        <v>2025</v>
      </c>
      <c r="B1106" s="4">
        <v>8</v>
      </c>
      <c r="C1106" s="12" t="s">
        <v>19</v>
      </c>
      <c r="D1106" s="4" t="s">
        <v>16</v>
      </c>
      <c r="E1106" s="4" t="s">
        <v>48</v>
      </c>
      <c r="F1106" s="4" t="s">
        <v>21</v>
      </c>
      <c r="G1106" s="5">
        <v>3086318</v>
      </c>
      <c r="H1106" s="5">
        <v>266153</v>
      </c>
      <c r="I1106" s="4">
        <v>135</v>
      </c>
      <c r="J1106" s="4">
        <v>1.2</v>
      </c>
      <c r="K1106" s="4">
        <v>3.37</v>
      </c>
      <c r="L1106" s="4">
        <v>6.18</v>
      </c>
      <c r="M1106" s="4">
        <v>8.41</v>
      </c>
      <c r="N1106" s="4">
        <v>129</v>
      </c>
      <c r="O1106" s="4" t="s">
        <v>49</v>
      </c>
      <c r="P1106" s="5">
        <v>398135022</v>
      </c>
    </row>
    <row r="1107" spans="1:16" x14ac:dyDescent="0.25">
      <c r="A1107" s="4">
        <v>2025</v>
      </c>
      <c r="B1107" s="4">
        <v>4</v>
      </c>
      <c r="C1107" s="12" t="s">
        <v>36</v>
      </c>
      <c r="D1107" s="4" t="s">
        <v>37</v>
      </c>
      <c r="E1107" s="4" t="s">
        <v>48</v>
      </c>
      <c r="F1107" s="4" t="s">
        <v>25</v>
      </c>
      <c r="G1107" s="5">
        <v>3524564</v>
      </c>
      <c r="H1107" s="5">
        <v>462681</v>
      </c>
      <c r="I1107" s="4">
        <v>153</v>
      </c>
      <c r="J1107" s="4">
        <v>1.28</v>
      </c>
      <c r="K1107" s="4">
        <v>7.74</v>
      </c>
      <c r="L1107" s="4">
        <v>8.3699999999999992</v>
      </c>
      <c r="M1107" s="4">
        <v>3.97</v>
      </c>
      <c r="N1107" s="4">
        <v>687</v>
      </c>
      <c r="O1107" s="4" t="s">
        <v>49</v>
      </c>
      <c r="P1107" s="5">
        <v>2421375468</v>
      </c>
    </row>
    <row r="1108" spans="1:16" x14ac:dyDescent="0.25">
      <c r="A1108" s="4">
        <v>2025</v>
      </c>
      <c r="B1108" s="4">
        <v>12</v>
      </c>
      <c r="C1108" s="12" t="s">
        <v>34</v>
      </c>
      <c r="D1108" s="4" t="s">
        <v>31</v>
      </c>
      <c r="E1108" s="4" t="s">
        <v>48</v>
      </c>
      <c r="F1108" s="4" t="s">
        <v>25</v>
      </c>
      <c r="G1108" s="5">
        <v>3011931</v>
      </c>
      <c r="H1108" s="5">
        <v>264937</v>
      </c>
      <c r="I1108" s="4">
        <v>108</v>
      </c>
      <c r="J1108" s="4">
        <v>1.51</v>
      </c>
      <c r="K1108" s="4">
        <v>4.75</v>
      </c>
      <c r="L1108" s="4">
        <v>8.24</v>
      </c>
      <c r="M1108" s="4">
        <v>1.22</v>
      </c>
      <c r="N1108" s="4">
        <v>633</v>
      </c>
      <c r="O1108" s="4" t="s">
        <v>49</v>
      </c>
      <c r="P1108" s="5">
        <v>1906552323</v>
      </c>
    </row>
    <row r="1109" spans="1:16" x14ac:dyDescent="0.25">
      <c r="A1109" s="4">
        <v>2025</v>
      </c>
      <c r="B1109" s="4">
        <v>3</v>
      </c>
      <c r="C1109" s="12" t="s">
        <v>19</v>
      </c>
      <c r="D1109" s="4" t="s">
        <v>32</v>
      </c>
      <c r="E1109" s="4" t="s">
        <v>46</v>
      </c>
      <c r="F1109" s="4" t="s">
        <v>25</v>
      </c>
      <c r="G1109" s="5">
        <v>4234824</v>
      </c>
      <c r="H1109" s="5">
        <v>198966</v>
      </c>
      <c r="I1109" s="4">
        <v>167</v>
      </c>
      <c r="J1109" s="4">
        <v>1.63</v>
      </c>
      <c r="K1109" s="4">
        <v>6.76</v>
      </c>
      <c r="L1109" s="4">
        <v>4.9400000000000004</v>
      </c>
      <c r="M1109" s="4">
        <v>4.83</v>
      </c>
      <c r="N1109" s="4">
        <v>311</v>
      </c>
      <c r="O1109" s="4" t="s">
        <v>47</v>
      </c>
      <c r="P1109" s="5">
        <v>1317030264</v>
      </c>
    </row>
    <row r="1110" spans="1:16" x14ac:dyDescent="0.25">
      <c r="A1110" s="4">
        <v>2025</v>
      </c>
      <c r="B1110" s="4">
        <v>9</v>
      </c>
      <c r="C1110" s="12" t="s">
        <v>19</v>
      </c>
      <c r="D1110" s="4" t="s">
        <v>20</v>
      </c>
      <c r="E1110" s="4" t="s">
        <v>48</v>
      </c>
      <c r="F1110" s="4" t="s">
        <v>18</v>
      </c>
      <c r="G1110" s="5">
        <v>4428899</v>
      </c>
      <c r="H1110" s="5">
        <v>378218</v>
      </c>
      <c r="I1110" s="4">
        <v>44</v>
      </c>
      <c r="J1110" s="4">
        <v>1.25</v>
      </c>
      <c r="K1110" s="4">
        <v>5.47</v>
      </c>
      <c r="L1110" s="4">
        <v>4.91</v>
      </c>
      <c r="M1110" s="4">
        <v>6.55</v>
      </c>
      <c r="N1110" s="4">
        <v>676</v>
      </c>
      <c r="O1110" s="4" t="s">
        <v>47</v>
      </c>
      <c r="P1110" s="5">
        <v>2993935724</v>
      </c>
    </row>
    <row r="1111" spans="1:16" x14ac:dyDescent="0.25">
      <c r="A1111" s="4">
        <v>2025</v>
      </c>
      <c r="B1111" s="4">
        <v>8</v>
      </c>
      <c r="C1111" s="12" t="s">
        <v>28</v>
      </c>
      <c r="D1111" s="4" t="s">
        <v>20</v>
      </c>
      <c r="E1111" s="4" t="s">
        <v>48</v>
      </c>
      <c r="F1111" s="4" t="s">
        <v>21</v>
      </c>
      <c r="G1111" s="5">
        <v>2685541</v>
      </c>
      <c r="H1111" s="5">
        <v>300856</v>
      </c>
      <c r="I1111" s="4">
        <v>101</v>
      </c>
      <c r="J1111" s="4">
        <v>1.73</v>
      </c>
      <c r="K1111" s="4">
        <v>4.4000000000000004</v>
      </c>
      <c r="L1111" s="4">
        <v>8.7799999999999994</v>
      </c>
      <c r="M1111" s="4">
        <v>9.14</v>
      </c>
      <c r="N1111" s="4">
        <v>637</v>
      </c>
      <c r="O1111" s="4" t="s">
        <v>49</v>
      </c>
      <c r="P1111" s="5">
        <v>1710689617</v>
      </c>
    </row>
    <row r="1112" spans="1:16" x14ac:dyDescent="0.25">
      <c r="A1112" s="4">
        <v>2026</v>
      </c>
      <c r="B1112" s="4">
        <v>3</v>
      </c>
      <c r="C1112" s="12" t="s">
        <v>28</v>
      </c>
      <c r="D1112" s="4" t="s">
        <v>32</v>
      </c>
      <c r="E1112" s="4" t="s">
        <v>46</v>
      </c>
      <c r="F1112" s="4" t="s">
        <v>25</v>
      </c>
      <c r="G1112" s="5">
        <v>4575935</v>
      </c>
      <c r="H1112" s="5">
        <v>105241</v>
      </c>
      <c r="I1112" s="4">
        <v>137</v>
      </c>
      <c r="J1112" s="4">
        <v>1.67</v>
      </c>
      <c r="K1112" s="4">
        <v>6.37</v>
      </c>
      <c r="L1112" s="4">
        <v>8.81</v>
      </c>
      <c r="M1112" s="4">
        <v>1</v>
      </c>
      <c r="N1112" s="4">
        <v>192</v>
      </c>
      <c r="O1112" s="4" t="s">
        <v>49</v>
      </c>
      <c r="P1112" s="5">
        <v>878579520</v>
      </c>
    </row>
    <row r="1113" spans="1:16" x14ac:dyDescent="0.25">
      <c r="A1113" s="4">
        <v>2026</v>
      </c>
      <c r="B1113" s="4">
        <v>3</v>
      </c>
      <c r="C1113" s="12" t="s">
        <v>28</v>
      </c>
      <c r="D1113" s="4" t="s">
        <v>32</v>
      </c>
      <c r="E1113" s="4" t="s">
        <v>46</v>
      </c>
      <c r="F1113" s="4" t="s">
        <v>18</v>
      </c>
      <c r="G1113" s="5">
        <v>946524</v>
      </c>
      <c r="H1113" s="5">
        <v>269187</v>
      </c>
      <c r="I1113" s="4">
        <v>55</v>
      </c>
      <c r="J1113" s="4">
        <v>1.76</v>
      </c>
      <c r="K1113" s="4">
        <v>4.71</v>
      </c>
      <c r="L1113" s="4">
        <v>7.62</v>
      </c>
      <c r="M1113" s="4">
        <v>6.59</v>
      </c>
      <c r="N1113" s="4">
        <v>576</v>
      </c>
      <c r="O1113" s="4" t="s">
        <v>49</v>
      </c>
      <c r="P1113" s="5">
        <v>545197824</v>
      </c>
    </row>
    <row r="1114" spans="1:16" x14ac:dyDescent="0.25">
      <c r="A1114" s="4">
        <v>2026</v>
      </c>
      <c r="B1114" s="4">
        <v>3</v>
      </c>
      <c r="C1114" s="12" t="s">
        <v>34</v>
      </c>
      <c r="D1114" s="4" t="s">
        <v>32</v>
      </c>
      <c r="E1114" s="4" t="s">
        <v>46</v>
      </c>
      <c r="F1114" s="4" t="s">
        <v>25</v>
      </c>
      <c r="G1114" s="5">
        <v>4115347</v>
      </c>
      <c r="H1114" s="5">
        <v>280818</v>
      </c>
      <c r="I1114" s="4">
        <v>109</v>
      </c>
      <c r="J1114" s="4">
        <v>1.81</v>
      </c>
      <c r="K1114" s="4">
        <v>3.26</v>
      </c>
      <c r="L1114" s="4">
        <v>7.76</v>
      </c>
      <c r="M1114" s="4">
        <v>5.52</v>
      </c>
      <c r="N1114" s="4">
        <v>284</v>
      </c>
      <c r="O1114" s="4" t="s">
        <v>49</v>
      </c>
      <c r="P1114" s="5">
        <v>1168758548</v>
      </c>
    </row>
    <row r="1115" spans="1:16" x14ac:dyDescent="0.25">
      <c r="A1115" s="4">
        <v>2026</v>
      </c>
      <c r="B1115" s="4">
        <v>1</v>
      </c>
      <c r="C1115" s="12" t="s">
        <v>30</v>
      </c>
      <c r="D1115" s="4" t="s">
        <v>22</v>
      </c>
      <c r="E1115" s="4" t="s">
        <v>48</v>
      </c>
      <c r="F1115" s="4" t="s">
        <v>25</v>
      </c>
      <c r="G1115" s="5">
        <v>3279327</v>
      </c>
      <c r="H1115" s="5">
        <v>466114</v>
      </c>
      <c r="I1115" s="4">
        <v>59</v>
      </c>
      <c r="J1115" s="4">
        <v>1.26</v>
      </c>
      <c r="K1115" s="4">
        <v>5.23</v>
      </c>
      <c r="L1115" s="4">
        <v>4.57</v>
      </c>
      <c r="M1115" s="4">
        <v>8.89</v>
      </c>
      <c r="N1115" s="4">
        <v>636</v>
      </c>
      <c r="O1115" s="4" t="s">
        <v>49</v>
      </c>
      <c r="P1115" s="5">
        <v>2085651972</v>
      </c>
    </row>
    <row r="1116" spans="1:16" x14ac:dyDescent="0.25">
      <c r="A1116" s="4">
        <v>2026</v>
      </c>
      <c r="B1116" s="4">
        <v>3</v>
      </c>
      <c r="C1116" s="12" t="s">
        <v>30</v>
      </c>
      <c r="D1116" s="4" t="s">
        <v>16</v>
      </c>
      <c r="E1116" s="4" t="s">
        <v>48</v>
      </c>
      <c r="F1116" s="4" t="s">
        <v>21</v>
      </c>
      <c r="G1116" s="5">
        <v>2781759</v>
      </c>
      <c r="H1116" s="5">
        <v>153841</v>
      </c>
      <c r="I1116" s="4">
        <v>164</v>
      </c>
      <c r="J1116" s="4">
        <v>1.4</v>
      </c>
      <c r="K1116" s="4">
        <v>3.43</v>
      </c>
      <c r="L1116" s="4">
        <v>4.38</v>
      </c>
      <c r="M1116" s="4">
        <v>3.5</v>
      </c>
      <c r="N1116" s="4">
        <v>310</v>
      </c>
      <c r="O1116" s="4" t="s">
        <v>49</v>
      </c>
      <c r="P1116" s="5">
        <v>862345290</v>
      </c>
    </row>
    <row r="1117" spans="1:16" x14ac:dyDescent="0.25">
      <c r="A1117" s="4">
        <v>2025</v>
      </c>
      <c r="B1117" s="4">
        <v>10</v>
      </c>
      <c r="C1117" s="12" t="s">
        <v>28</v>
      </c>
      <c r="D1117" s="4" t="s">
        <v>13</v>
      </c>
      <c r="E1117" s="4" t="s">
        <v>50</v>
      </c>
      <c r="F1117" s="4" t="s">
        <v>21</v>
      </c>
      <c r="G1117" s="5">
        <v>4406068</v>
      </c>
      <c r="H1117" s="5">
        <v>307765</v>
      </c>
      <c r="I1117" s="4">
        <v>24</v>
      </c>
      <c r="J1117" s="4">
        <v>1.57</v>
      </c>
      <c r="K1117" s="4">
        <v>5.56</v>
      </c>
      <c r="L1117" s="4">
        <v>9.83</v>
      </c>
      <c r="M1117" s="4">
        <v>4.2699999999999996</v>
      </c>
      <c r="N1117" s="4">
        <v>787</v>
      </c>
      <c r="O1117" s="4" t="s">
        <v>47</v>
      </c>
      <c r="P1117" s="5">
        <v>3467575516</v>
      </c>
    </row>
    <row r="1118" spans="1:16" x14ac:dyDescent="0.25">
      <c r="A1118" s="4">
        <v>2026</v>
      </c>
      <c r="B1118" s="4">
        <v>3</v>
      </c>
      <c r="C1118" s="12" t="s">
        <v>30</v>
      </c>
      <c r="D1118" s="4" t="s">
        <v>27</v>
      </c>
      <c r="E1118" s="4" t="s">
        <v>48</v>
      </c>
      <c r="F1118" s="4" t="s">
        <v>25</v>
      </c>
      <c r="G1118" s="5">
        <v>4025011</v>
      </c>
      <c r="H1118" s="5">
        <v>187865</v>
      </c>
      <c r="I1118" s="4">
        <v>109</v>
      </c>
      <c r="J1118" s="4">
        <v>1.91</v>
      </c>
      <c r="K1118" s="4">
        <v>6.68</v>
      </c>
      <c r="L1118" s="4">
        <v>5.6</v>
      </c>
      <c r="M1118" s="4">
        <v>2.31</v>
      </c>
      <c r="N1118" s="4">
        <v>644</v>
      </c>
      <c r="O1118" s="4" t="s">
        <v>47</v>
      </c>
      <c r="P1118" s="5">
        <v>2592107084</v>
      </c>
    </row>
    <row r="1119" spans="1:16" x14ac:dyDescent="0.25">
      <c r="A1119" s="4">
        <v>2026</v>
      </c>
      <c r="B1119" s="4">
        <v>2</v>
      </c>
      <c r="C1119" s="12" t="s">
        <v>28</v>
      </c>
      <c r="D1119" s="4" t="s">
        <v>29</v>
      </c>
      <c r="E1119" s="4" t="s">
        <v>46</v>
      </c>
      <c r="F1119" s="4" t="s">
        <v>25</v>
      </c>
      <c r="G1119" s="5">
        <v>891934</v>
      </c>
      <c r="H1119" s="5">
        <v>264353</v>
      </c>
      <c r="I1119" s="4">
        <v>195</v>
      </c>
      <c r="J1119" s="4">
        <v>1.64</v>
      </c>
      <c r="K1119" s="4">
        <v>4.2300000000000004</v>
      </c>
      <c r="L1119" s="4">
        <v>5.89</v>
      </c>
      <c r="M1119" s="4">
        <v>9.1300000000000008</v>
      </c>
      <c r="N1119" s="4">
        <v>704</v>
      </c>
      <c r="O1119" s="4" t="s">
        <v>47</v>
      </c>
      <c r="P1119" s="5">
        <v>627921536</v>
      </c>
    </row>
    <row r="1120" spans="1:16" x14ac:dyDescent="0.25">
      <c r="A1120" s="4">
        <v>2026</v>
      </c>
      <c r="B1120" s="4">
        <v>3</v>
      </c>
      <c r="C1120" s="12" t="s">
        <v>30</v>
      </c>
      <c r="D1120" s="4" t="s">
        <v>13</v>
      </c>
      <c r="E1120" s="4" t="s">
        <v>50</v>
      </c>
      <c r="F1120" s="4" t="s">
        <v>21</v>
      </c>
      <c r="G1120" s="5">
        <v>1638842</v>
      </c>
      <c r="H1120" s="5">
        <v>498262</v>
      </c>
      <c r="I1120" s="4">
        <v>145</v>
      </c>
      <c r="J1120" s="4">
        <v>1.44</v>
      </c>
      <c r="K1120" s="4">
        <v>5.76</v>
      </c>
      <c r="L1120" s="4">
        <v>5.37</v>
      </c>
      <c r="M1120" s="4">
        <v>3.04</v>
      </c>
      <c r="N1120" s="4">
        <v>62</v>
      </c>
      <c r="O1120" s="4" t="s">
        <v>49</v>
      </c>
      <c r="P1120" s="5">
        <v>101608204</v>
      </c>
    </row>
    <row r="1121" spans="1:16" x14ac:dyDescent="0.25">
      <c r="A1121" s="4">
        <v>2025</v>
      </c>
      <c r="B1121" s="4">
        <v>5</v>
      </c>
      <c r="C1121" s="12" t="s">
        <v>28</v>
      </c>
      <c r="D1121" s="4" t="s">
        <v>16</v>
      </c>
      <c r="E1121" s="4" t="s">
        <v>48</v>
      </c>
      <c r="F1121" s="4" t="s">
        <v>21</v>
      </c>
      <c r="G1121" s="5">
        <v>1547692</v>
      </c>
      <c r="H1121" s="5">
        <v>337766</v>
      </c>
      <c r="I1121" s="4">
        <v>26</v>
      </c>
      <c r="J1121" s="4">
        <v>1.94</v>
      </c>
      <c r="K1121" s="4">
        <v>4.87</v>
      </c>
      <c r="L1121" s="4">
        <v>6.1</v>
      </c>
      <c r="M1121" s="4">
        <v>5.23</v>
      </c>
      <c r="N1121" s="4">
        <v>771</v>
      </c>
      <c r="O1121" s="4" t="s">
        <v>47</v>
      </c>
      <c r="P1121" s="5">
        <v>1193270532</v>
      </c>
    </row>
    <row r="1122" spans="1:16" x14ac:dyDescent="0.25">
      <c r="A1122" s="4">
        <v>2025</v>
      </c>
      <c r="B1122" s="4">
        <v>9</v>
      </c>
      <c r="C1122" s="12" t="s">
        <v>34</v>
      </c>
      <c r="D1122" s="4" t="s">
        <v>22</v>
      </c>
      <c r="E1122" s="4" t="s">
        <v>48</v>
      </c>
      <c r="F1122" s="4" t="s">
        <v>25</v>
      </c>
      <c r="G1122" s="5">
        <v>4893069</v>
      </c>
      <c r="H1122" s="5">
        <v>189031</v>
      </c>
      <c r="I1122" s="4">
        <v>107</v>
      </c>
      <c r="J1122" s="4">
        <v>2</v>
      </c>
      <c r="K1122" s="4">
        <v>3.5</v>
      </c>
      <c r="L1122" s="4">
        <v>9.1999999999999993</v>
      </c>
      <c r="M1122" s="4">
        <v>3.65</v>
      </c>
      <c r="N1122" s="4">
        <v>285</v>
      </c>
      <c r="O1122" s="4" t="s">
        <v>49</v>
      </c>
      <c r="P1122" s="5">
        <v>1394524665</v>
      </c>
    </row>
    <row r="1123" spans="1:16" x14ac:dyDescent="0.25">
      <c r="A1123" s="4">
        <v>2026</v>
      </c>
      <c r="B1123" s="4">
        <v>3</v>
      </c>
      <c r="C1123" s="12" t="s">
        <v>34</v>
      </c>
      <c r="D1123" s="4" t="s">
        <v>31</v>
      </c>
      <c r="E1123" s="4" t="s">
        <v>48</v>
      </c>
      <c r="F1123" s="4" t="s">
        <v>25</v>
      </c>
      <c r="G1123" s="5">
        <v>2276387</v>
      </c>
      <c r="H1123" s="5">
        <v>236551</v>
      </c>
      <c r="I1123" s="4">
        <v>62</v>
      </c>
      <c r="J1123" s="4">
        <v>1.65</v>
      </c>
      <c r="K1123" s="4">
        <v>6.44</v>
      </c>
      <c r="L1123" s="4">
        <v>4.26</v>
      </c>
      <c r="M1123" s="4">
        <v>5.94</v>
      </c>
      <c r="N1123" s="4">
        <v>359</v>
      </c>
      <c r="O1123" s="4" t="s">
        <v>49</v>
      </c>
      <c r="P1123" s="5">
        <v>817222933</v>
      </c>
    </row>
    <row r="1124" spans="1:16" x14ac:dyDescent="0.25">
      <c r="A1124" s="4">
        <v>2026</v>
      </c>
      <c r="B1124" s="4">
        <v>1</v>
      </c>
      <c r="C1124" s="12" t="s">
        <v>30</v>
      </c>
      <c r="D1124" s="4" t="s">
        <v>13</v>
      </c>
      <c r="E1124" s="4" t="s">
        <v>50</v>
      </c>
      <c r="F1124" s="4" t="s">
        <v>25</v>
      </c>
      <c r="G1124" s="5">
        <v>1938582</v>
      </c>
      <c r="H1124" s="5">
        <v>484021</v>
      </c>
      <c r="I1124" s="4">
        <v>81</v>
      </c>
      <c r="J1124" s="4">
        <v>1.53</v>
      </c>
      <c r="K1124" s="4">
        <v>4.8099999999999996</v>
      </c>
      <c r="L1124" s="4">
        <v>4.46</v>
      </c>
      <c r="M1124" s="4">
        <v>9.86</v>
      </c>
      <c r="N1124" s="4">
        <v>432</v>
      </c>
      <c r="O1124" s="4" t="s">
        <v>47</v>
      </c>
      <c r="P1124" s="5">
        <v>837467424</v>
      </c>
    </row>
    <row r="1125" spans="1:16" x14ac:dyDescent="0.25">
      <c r="A1125" s="4">
        <v>2025</v>
      </c>
      <c r="B1125" s="4">
        <v>5</v>
      </c>
      <c r="C1125" s="12" t="s">
        <v>36</v>
      </c>
      <c r="D1125" s="4" t="s">
        <v>32</v>
      </c>
      <c r="E1125" s="4" t="s">
        <v>46</v>
      </c>
      <c r="F1125" s="4" t="s">
        <v>21</v>
      </c>
      <c r="G1125" s="5">
        <v>1532713</v>
      </c>
      <c r="H1125" s="5">
        <v>424644</v>
      </c>
      <c r="I1125" s="4">
        <v>114</v>
      </c>
      <c r="J1125" s="4">
        <v>1.79</v>
      </c>
      <c r="K1125" s="4">
        <v>3.81</v>
      </c>
      <c r="L1125" s="4">
        <v>4.49</v>
      </c>
      <c r="M1125" s="4">
        <v>5.62</v>
      </c>
      <c r="N1125" s="4">
        <v>287</v>
      </c>
      <c r="O1125" s="4" t="s">
        <v>47</v>
      </c>
      <c r="P1125" s="5">
        <v>439888631</v>
      </c>
    </row>
    <row r="1126" spans="1:16" x14ac:dyDescent="0.25">
      <c r="A1126" s="4">
        <v>2026</v>
      </c>
      <c r="B1126" s="4">
        <v>1</v>
      </c>
      <c r="C1126" s="12" t="s">
        <v>19</v>
      </c>
      <c r="D1126" s="4" t="s">
        <v>16</v>
      </c>
      <c r="E1126" s="4" t="s">
        <v>48</v>
      </c>
      <c r="F1126" s="4" t="s">
        <v>25</v>
      </c>
      <c r="G1126" s="5">
        <v>3059226</v>
      </c>
      <c r="H1126" s="5">
        <v>382891</v>
      </c>
      <c r="I1126" s="4">
        <v>101</v>
      </c>
      <c r="J1126" s="4">
        <v>1.26</v>
      </c>
      <c r="K1126" s="4">
        <v>5.66</v>
      </c>
      <c r="L1126" s="4">
        <v>8.2200000000000006</v>
      </c>
      <c r="M1126" s="4">
        <v>9.5399999999999991</v>
      </c>
      <c r="N1126" s="4">
        <v>312</v>
      </c>
      <c r="O1126" s="4" t="s">
        <v>49</v>
      </c>
      <c r="P1126" s="5">
        <v>954478512</v>
      </c>
    </row>
    <row r="1127" spans="1:16" x14ac:dyDescent="0.25">
      <c r="A1127" s="4">
        <v>2025</v>
      </c>
      <c r="B1127" s="4">
        <v>1</v>
      </c>
      <c r="C1127" s="12" t="s">
        <v>30</v>
      </c>
      <c r="D1127" s="4" t="s">
        <v>16</v>
      </c>
      <c r="E1127" s="4" t="s">
        <v>48</v>
      </c>
      <c r="F1127" s="4" t="s">
        <v>21</v>
      </c>
      <c r="G1127" s="5">
        <v>2963135</v>
      </c>
      <c r="H1127" s="5">
        <v>144759</v>
      </c>
      <c r="I1127" s="4">
        <v>168</v>
      </c>
      <c r="J1127" s="4">
        <v>1.8</v>
      </c>
      <c r="K1127" s="4">
        <v>6.07</v>
      </c>
      <c r="L1127" s="4">
        <v>8.5299999999999994</v>
      </c>
      <c r="M1127" s="4">
        <v>4.41</v>
      </c>
      <c r="N1127" s="4">
        <v>423</v>
      </c>
      <c r="O1127" s="4" t="s">
        <v>49</v>
      </c>
      <c r="P1127" s="5">
        <v>1253406105</v>
      </c>
    </row>
    <row r="1128" spans="1:16" x14ac:dyDescent="0.25">
      <c r="A1128" s="4">
        <v>2026</v>
      </c>
      <c r="B1128" s="4">
        <v>1</v>
      </c>
      <c r="C1128" s="12" t="s">
        <v>19</v>
      </c>
      <c r="D1128" s="4" t="s">
        <v>32</v>
      </c>
      <c r="E1128" s="4" t="s">
        <v>46</v>
      </c>
      <c r="F1128" s="4" t="s">
        <v>15</v>
      </c>
      <c r="G1128" s="5">
        <v>3835928</v>
      </c>
      <c r="H1128" s="5">
        <v>357498</v>
      </c>
      <c r="I1128" s="4">
        <v>156</v>
      </c>
      <c r="J1128" s="4">
        <v>1.81</v>
      </c>
      <c r="K1128" s="4">
        <v>3.53</v>
      </c>
      <c r="L1128" s="4">
        <v>9.7899999999999991</v>
      </c>
      <c r="M1128" s="4">
        <v>7.41</v>
      </c>
      <c r="N1128" s="4">
        <v>392</v>
      </c>
      <c r="O1128" s="4" t="s">
        <v>47</v>
      </c>
      <c r="P1128" s="5">
        <v>1503683776</v>
      </c>
    </row>
    <row r="1129" spans="1:16" x14ac:dyDescent="0.25">
      <c r="A1129" s="4">
        <v>2025</v>
      </c>
      <c r="B1129" s="4">
        <v>8</v>
      </c>
      <c r="C1129" s="12" t="s">
        <v>36</v>
      </c>
      <c r="D1129" s="4" t="s">
        <v>37</v>
      </c>
      <c r="E1129" s="4" t="s">
        <v>48</v>
      </c>
      <c r="F1129" s="4" t="s">
        <v>18</v>
      </c>
      <c r="G1129" s="5">
        <v>3575367</v>
      </c>
      <c r="H1129" s="5">
        <v>350998</v>
      </c>
      <c r="I1129" s="4">
        <v>103</v>
      </c>
      <c r="J1129" s="4">
        <v>1.58</v>
      </c>
      <c r="K1129" s="4">
        <v>6.87</v>
      </c>
      <c r="L1129" s="4">
        <v>9.66</v>
      </c>
      <c r="M1129" s="4">
        <v>1.33</v>
      </c>
      <c r="N1129" s="4">
        <v>715</v>
      </c>
      <c r="O1129" s="4" t="s">
        <v>47</v>
      </c>
      <c r="P1129" s="5">
        <v>2556387405</v>
      </c>
    </row>
    <row r="1130" spans="1:16" x14ac:dyDescent="0.25">
      <c r="A1130" s="4">
        <v>2026</v>
      </c>
      <c r="B1130" s="4">
        <v>2</v>
      </c>
      <c r="C1130" s="12" t="s">
        <v>36</v>
      </c>
      <c r="D1130" s="4" t="s">
        <v>20</v>
      </c>
      <c r="E1130" s="4" t="s">
        <v>48</v>
      </c>
      <c r="F1130" s="4" t="s">
        <v>25</v>
      </c>
      <c r="G1130" s="5">
        <v>2941913</v>
      </c>
      <c r="H1130" s="5">
        <v>115956</v>
      </c>
      <c r="I1130" s="4">
        <v>118</v>
      </c>
      <c r="J1130" s="4">
        <v>1.04</v>
      </c>
      <c r="K1130" s="4">
        <v>5.15</v>
      </c>
      <c r="L1130" s="4">
        <v>6.59</v>
      </c>
      <c r="M1130" s="4">
        <v>5.78</v>
      </c>
      <c r="N1130" s="4">
        <v>569</v>
      </c>
      <c r="O1130" s="4" t="s">
        <v>47</v>
      </c>
      <c r="P1130" s="5">
        <v>1673948497</v>
      </c>
    </row>
    <row r="1131" spans="1:16" x14ac:dyDescent="0.25">
      <c r="A1131" s="4">
        <v>2025</v>
      </c>
      <c r="B1131" s="4">
        <v>9</v>
      </c>
      <c r="C1131" s="12" t="s">
        <v>36</v>
      </c>
      <c r="D1131" s="4" t="s">
        <v>13</v>
      </c>
      <c r="E1131" s="4" t="s">
        <v>50</v>
      </c>
      <c r="F1131" s="4" t="s">
        <v>15</v>
      </c>
      <c r="G1131" s="5">
        <v>4265057</v>
      </c>
      <c r="H1131" s="5">
        <v>184029</v>
      </c>
      <c r="I1131" s="4">
        <v>141</v>
      </c>
      <c r="J1131" s="4">
        <v>1.81</v>
      </c>
      <c r="K1131" s="4">
        <v>4.43</v>
      </c>
      <c r="L1131" s="4">
        <v>9.41</v>
      </c>
      <c r="M1131" s="4">
        <v>6.78</v>
      </c>
      <c r="N1131" s="4">
        <v>420</v>
      </c>
      <c r="O1131" s="4" t="s">
        <v>47</v>
      </c>
      <c r="P1131" s="5">
        <v>1791323940</v>
      </c>
    </row>
    <row r="1132" spans="1:16" x14ac:dyDescent="0.25">
      <c r="A1132" s="4">
        <v>2025</v>
      </c>
      <c r="B1132" s="4">
        <v>5</v>
      </c>
      <c r="C1132" s="12" t="s">
        <v>30</v>
      </c>
      <c r="D1132" s="4" t="s">
        <v>37</v>
      </c>
      <c r="E1132" s="4" t="s">
        <v>48</v>
      </c>
      <c r="F1132" s="4" t="s">
        <v>25</v>
      </c>
      <c r="G1132" s="5">
        <v>3224091</v>
      </c>
      <c r="H1132" s="5">
        <v>476144</v>
      </c>
      <c r="I1132" s="4">
        <v>159</v>
      </c>
      <c r="J1132" s="4">
        <v>1.92</v>
      </c>
      <c r="K1132" s="4">
        <v>5.53</v>
      </c>
      <c r="L1132" s="4">
        <v>4.87</v>
      </c>
      <c r="M1132" s="4">
        <v>4.57</v>
      </c>
      <c r="N1132" s="4">
        <v>498</v>
      </c>
      <c r="O1132" s="4" t="s">
        <v>47</v>
      </c>
      <c r="P1132" s="5">
        <v>1605597318</v>
      </c>
    </row>
    <row r="1133" spans="1:16" x14ac:dyDescent="0.25">
      <c r="A1133" s="4">
        <v>2025</v>
      </c>
      <c r="B1133" s="4">
        <v>2</v>
      </c>
      <c r="C1133" s="12" t="s">
        <v>36</v>
      </c>
      <c r="D1133" s="4" t="s">
        <v>27</v>
      </c>
      <c r="E1133" s="4" t="s">
        <v>48</v>
      </c>
      <c r="F1133" s="4" t="s">
        <v>15</v>
      </c>
      <c r="G1133" s="5">
        <v>3750174</v>
      </c>
      <c r="H1133" s="5">
        <v>183180</v>
      </c>
      <c r="I1133" s="4">
        <v>147</v>
      </c>
      <c r="J1133" s="4">
        <v>1.21</v>
      </c>
      <c r="K1133" s="4">
        <v>3.66</v>
      </c>
      <c r="L1133" s="4">
        <v>5.16</v>
      </c>
      <c r="M1133" s="4">
        <v>7.17</v>
      </c>
      <c r="N1133" s="4">
        <v>178</v>
      </c>
      <c r="O1133" s="4" t="s">
        <v>49</v>
      </c>
      <c r="P1133" s="5">
        <v>667530972</v>
      </c>
    </row>
    <row r="1134" spans="1:16" x14ac:dyDescent="0.25">
      <c r="A1134" s="4">
        <v>2026</v>
      </c>
      <c r="B1134" s="4">
        <v>1</v>
      </c>
      <c r="C1134" s="12" t="s">
        <v>19</v>
      </c>
      <c r="D1134" s="4" t="s">
        <v>37</v>
      </c>
      <c r="E1134" s="4" t="s">
        <v>48</v>
      </c>
      <c r="F1134" s="4" t="s">
        <v>18</v>
      </c>
      <c r="G1134" s="5">
        <v>1379294</v>
      </c>
      <c r="H1134" s="5">
        <v>208239</v>
      </c>
      <c r="I1134" s="4">
        <v>149</v>
      </c>
      <c r="J1134" s="4">
        <v>1.4</v>
      </c>
      <c r="K1134" s="4">
        <v>3.33</v>
      </c>
      <c r="L1134" s="4">
        <v>8.27</v>
      </c>
      <c r="M1134" s="4">
        <v>6.13</v>
      </c>
      <c r="N1134" s="4">
        <v>554</v>
      </c>
      <c r="O1134" s="4" t="s">
        <v>47</v>
      </c>
      <c r="P1134" s="5">
        <v>764128876</v>
      </c>
    </row>
    <row r="1135" spans="1:16" x14ac:dyDescent="0.25">
      <c r="A1135" s="4">
        <v>2025</v>
      </c>
      <c r="B1135" s="4">
        <v>3</v>
      </c>
      <c r="C1135" s="12" t="s">
        <v>36</v>
      </c>
      <c r="D1135" s="4" t="s">
        <v>27</v>
      </c>
      <c r="E1135" s="4" t="s">
        <v>48</v>
      </c>
      <c r="F1135" s="4" t="s">
        <v>18</v>
      </c>
      <c r="G1135" s="5">
        <v>1257202</v>
      </c>
      <c r="H1135" s="5">
        <v>376734</v>
      </c>
      <c r="I1135" s="4">
        <v>154</v>
      </c>
      <c r="J1135" s="4">
        <v>1.26</v>
      </c>
      <c r="K1135" s="4">
        <v>7.65</v>
      </c>
      <c r="L1135" s="4">
        <v>6.24</v>
      </c>
      <c r="M1135" s="4">
        <v>7.94</v>
      </c>
      <c r="N1135" s="4">
        <v>97</v>
      </c>
      <c r="O1135" s="4" t="s">
        <v>49</v>
      </c>
      <c r="P1135" s="5">
        <v>121948594</v>
      </c>
    </row>
    <row r="1136" spans="1:16" x14ac:dyDescent="0.25">
      <c r="A1136" s="4">
        <v>2026</v>
      </c>
      <c r="B1136" s="4">
        <v>2</v>
      </c>
      <c r="C1136" s="12" t="s">
        <v>34</v>
      </c>
      <c r="D1136" s="4" t="s">
        <v>27</v>
      </c>
      <c r="E1136" s="4" t="s">
        <v>48</v>
      </c>
      <c r="F1136" s="4" t="s">
        <v>25</v>
      </c>
      <c r="G1136" s="5">
        <v>1767909</v>
      </c>
      <c r="H1136" s="5">
        <v>385329</v>
      </c>
      <c r="I1136" s="4">
        <v>159</v>
      </c>
      <c r="J1136" s="4">
        <v>1.07</v>
      </c>
      <c r="K1136" s="4">
        <v>5.77</v>
      </c>
      <c r="L1136" s="4">
        <v>7.46</v>
      </c>
      <c r="M1136" s="4">
        <v>3.84</v>
      </c>
      <c r="N1136" s="4">
        <v>662</v>
      </c>
      <c r="O1136" s="4" t="s">
        <v>47</v>
      </c>
      <c r="P1136" s="5">
        <v>1170355758</v>
      </c>
    </row>
    <row r="1137" spans="1:16" x14ac:dyDescent="0.25">
      <c r="A1137" s="4">
        <v>2026</v>
      </c>
      <c r="B1137" s="4">
        <v>3</v>
      </c>
      <c r="C1137" s="12" t="s">
        <v>30</v>
      </c>
      <c r="D1137" s="4" t="s">
        <v>22</v>
      </c>
      <c r="E1137" s="4" t="s">
        <v>48</v>
      </c>
      <c r="F1137" s="4" t="s">
        <v>15</v>
      </c>
      <c r="G1137" s="5">
        <v>1330364</v>
      </c>
      <c r="H1137" s="5">
        <v>155499</v>
      </c>
      <c r="I1137" s="4">
        <v>139</v>
      </c>
      <c r="J1137" s="4">
        <v>1.98</v>
      </c>
      <c r="K1137" s="4">
        <v>7.51</v>
      </c>
      <c r="L1137" s="4">
        <v>6.75</v>
      </c>
      <c r="M1137" s="4">
        <v>8.36</v>
      </c>
      <c r="N1137" s="4">
        <v>560</v>
      </c>
      <c r="O1137" s="4" t="s">
        <v>49</v>
      </c>
      <c r="P1137" s="5">
        <v>745003840</v>
      </c>
    </row>
    <row r="1138" spans="1:16" x14ac:dyDescent="0.25">
      <c r="A1138" s="4">
        <v>2025</v>
      </c>
      <c r="B1138" s="4">
        <v>5</v>
      </c>
      <c r="C1138" s="12" t="s">
        <v>34</v>
      </c>
      <c r="D1138" s="4" t="s">
        <v>29</v>
      </c>
      <c r="E1138" s="4" t="s">
        <v>46</v>
      </c>
      <c r="F1138" s="4" t="s">
        <v>21</v>
      </c>
      <c r="G1138" s="5">
        <v>2512765</v>
      </c>
      <c r="H1138" s="5">
        <v>390535</v>
      </c>
      <c r="I1138" s="4">
        <v>47</v>
      </c>
      <c r="J1138" s="4">
        <v>1.58</v>
      </c>
      <c r="K1138" s="4">
        <v>3.79</v>
      </c>
      <c r="L1138" s="4">
        <v>4.2300000000000004</v>
      </c>
      <c r="M1138" s="4">
        <v>4.53</v>
      </c>
      <c r="N1138" s="4">
        <v>366</v>
      </c>
      <c r="O1138" s="4" t="s">
        <v>49</v>
      </c>
      <c r="P1138" s="5">
        <v>919671990</v>
      </c>
    </row>
    <row r="1139" spans="1:16" x14ac:dyDescent="0.25">
      <c r="A1139" s="4">
        <v>2025</v>
      </c>
      <c r="B1139" s="4">
        <v>10</v>
      </c>
      <c r="C1139" s="12" t="s">
        <v>30</v>
      </c>
      <c r="D1139" s="4" t="s">
        <v>29</v>
      </c>
      <c r="E1139" s="4" t="s">
        <v>46</v>
      </c>
      <c r="F1139" s="4" t="s">
        <v>21</v>
      </c>
      <c r="G1139" s="5">
        <v>807208</v>
      </c>
      <c r="H1139" s="5">
        <v>129987</v>
      </c>
      <c r="I1139" s="4">
        <v>83</v>
      </c>
      <c r="J1139" s="4">
        <v>1.96</v>
      </c>
      <c r="K1139" s="4">
        <v>6.34</v>
      </c>
      <c r="L1139" s="4">
        <v>9.7899999999999991</v>
      </c>
      <c r="M1139" s="4">
        <v>5.78</v>
      </c>
      <c r="N1139" s="4">
        <v>248</v>
      </c>
      <c r="O1139" s="4" t="s">
        <v>47</v>
      </c>
      <c r="P1139" s="5">
        <v>200187584</v>
      </c>
    </row>
    <row r="1140" spans="1:16" x14ac:dyDescent="0.25">
      <c r="A1140" s="4">
        <v>2025</v>
      </c>
      <c r="B1140" s="4">
        <v>11</v>
      </c>
      <c r="C1140" s="12" t="s">
        <v>36</v>
      </c>
      <c r="D1140" s="4" t="s">
        <v>27</v>
      </c>
      <c r="E1140" s="4" t="s">
        <v>48</v>
      </c>
      <c r="F1140" s="4" t="s">
        <v>21</v>
      </c>
      <c r="G1140" s="5">
        <v>1711047</v>
      </c>
      <c r="H1140" s="5">
        <v>233168</v>
      </c>
      <c r="I1140" s="4">
        <v>139</v>
      </c>
      <c r="J1140" s="4">
        <v>1.19</v>
      </c>
      <c r="K1140" s="4">
        <v>3.56</v>
      </c>
      <c r="L1140" s="4">
        <v>4.25</v>
      </c>
      <c r="M1140" s="4">
        <v>3.05</v>
      </c>
      <c r="N1140" s="4">
        <v>251</v>
      </c>
      <c r="O1140" s="4" t="s">
        <v>47</v>
      </c>
      <c r="P1140" s="5">
        <v>429472797</v>
      </c>
    </row>
    <row r="1141" spans="1:16" x14ac:dyDescent="0.25">
      <c r="A1141" s="4">
        <v>2026</v>
      </c>
      <c r="B1141" s="4">
        <v>1</v>
      </c>
      <c r="C1141" s="12" t="s">
        <v>19</v>
      </c>
      <c r="D1141" s="4" t="s">
        <v>13</v>
      </c>
      <c r="E1141" s="4" t="s">
        <v>50</v>
      </c>
      <c r="F1141" s="4" t="s">
        <v>18</v>
      </c>
      <c r="G1141" s="5">
        <v>3620360</v>
      </c>
      <c r="H1141" s="5">
        <v>154334</v>
      </c>
      <c r="I1141" s="4">
        <v>36</v>
      </c>
      <c r="J1141" s="4">
        <v>1.8</v>
      </c>
      <c r="K1141" s="4">
        <v>7.1</v>
      </c>
      <c r="L1141" s="4">
        <v>6.91</v>
      </c>
      <c r="M1141" s="4">
        <v>9.65</v>
      </c>
      <c r="N1141" s="4">
        <v>684</v>
      </c>
      <c r="O1141" s="4" t="s">
        <v>49</v>
      </c>
      <c r="P1141" s="5">
        <v>2476326240</v>
      </c>
    </row>
    <row r="1142" spans="1:16" x14ac:dyDescent="0.25">
      <c r="A1142" s="4">
        <v>2025</v>
      </c>
      <c r="B1142" s="4">
        <v>8</v>
      </c>
      <c r="C1142" s="12" t="s">
        <v>19</v>
      </c>
      <c r="D1142" s="4" t="s">
        <v>37</v>
      </c>
      <c r="E1142" s="4" t="s">
        <v>48</v>
      </c>
      <c r="F1142" s="4" t="s">
        <v>21</v>
      </c>
      <c r="G1142" s="5">
        <v>2717678</v>
      </c>
      <c r="H1142" s="5">
        <v>170406</v>
      </c>
      <c r="I1142" s="4">
        <v>140</v>
      </c>
      <c r="J1142" s="4">
        <v>1.98</v>
      </c>
      <c r="K1142" s="4">
        <v>6.25</v>
      </c>
      <c r="L1142" s="4">
        <v>9.2899999999999991</v>
      </c>
      <c r="M1142" s="4">
        <v>6</v>
      </c>
      <c r="N1142" s="4">
        <v>82</v>
      </c>
      <c r="O1142" s="4" t="s">
        <v>49</v>
      </c>
      <c r="P1142" s="5">
        <v>222849596</v>
      </c>
    </row>
    <row r="1143" spans="1:16" x14ac:dyDescent="0.25">
      <c r="A1143" s="4">
        <v>2026</v>
      </c>
      <c r="B1143" s="4">
        <v>3</v>
      </c>
      <c r="C1143" s="12" t="s">
        <v>36</v>
      </c>
      <c r="D1143" s="4" t="s">
        <v>37</v>
      </c>
      <c r="E1143" s="4" t="s">
        <v>48</v>
      </c>
      <c r="F1143" s="4" t="s">
        <v>18</v>
      </c>
      <c r="G1143" s="5">
        <v>994366</v>
      </c>
      <c r="H1143" s="5">
        <v>340000</v>
      </c>
      <c r="I1143" s="4">
        <v>21</v>
      </c>
      <c r="J1143" s="4">
        <v>1.43</v>
      </c>
      <c r="K1143" s="4">
        <v>7.62</v>
      </c>
      <c r="L1143" s="4">
        <v>4.63</v>
      </c>
      <c r="M1143" s="4">
        <v>9.84</v>
      </c>
      <c r="N1143" s="4">
        <v>492</v>
      </c>
      <c r="O1143" s="4" t="s">
        <v>49</v>
      </c>
      <c r="P1143" s="5">
        <v>489228072</v>
      </c>
    </row>
    <row r="1144" spans="1:16" x14ac:dyDescent="0.25">
      <c r="A1144" s="4">
        <v>2026</v>
      </c>
      <c r="B1144" s="4">
        <v>2</v>
      </c>
      <c r="C1144" s="12" t="s">
        <v>30</v>
      </c>
      <c r="D1144" s="4" t="s">
        <v>20</v>
      </c>
      <c r="E1144" s="4" t="s">
        <v>48</v>
      </c>
      <c r="F1144" s="4" t="s">
        <v>21</v>
      </c>
      <c r="G1144" s="5">
        <v>3943941</v>
      </c>
      <c r="H1144" s="5">
        <v>175501</v>
      </c>
      <c r="I1144" s="4">
        <v>189</v>
      </c>
      <c r="J1144" s="4">
        <v>1.93</v>
      </c>
      <c r="K1144" s="4">
        <v>5.35</v>
      </c>
      <c r="L1144" s="4">
        <v>5.3</v>
      </c>
      <c r="M1144" s="4">
        <v>5.63</v>
      </c>
      <c r="N1144" s="4">
        <v>76</v>
      </c>
      <c r="O1144" s="4" t="s">
        <v>47</v>
      </c>
      <c r="P1144" s="5">
        <v>299739516</v>
      </c>
    </row>
    <row r="1145" spans="1:16" x14ac:dyDescent="0.25">
      <c r="A1145" s="4">
        <v>2025</v>
      </c>
      <c r="B1145" s="4">
        <v>8</v>
      </c>
      <c r="C1145" s="12" t="s">
        <v>28</v>
      </c>
      <c r="D1145" s="4" t="s">
        <v>20</v>
      </c>
      <c r="E1145" s="4" t="s">
        <v>48</v>
      </c>
      <c r="F1145" s="4" t="s">
        <v>18</v>
      </c>
      <c r="G1145" s="5">
        <v>2259548</v>
      </c>
      <c r="H1145" s="5">
        <v>435643</v>
      </c>
      <c r="I1145" s="4">
        <v>26</v>
      </c>
      <c r="J1145" s="4">
        <v>1.8</v>
      </c>
      <c r="K1145" s="4">
        <v>7.99</v>
      </c>
      <c r="L1145" s="4">
        <v>9.08</v>
      </c>
      <c r="M1145" s="4">
        <v>4.7300000000000004</v>
      </c>
      <c r="N1145" s="4">
        <v>555</v>
      </c>
      <c r="O1145" s="4" t="s">
        <v>47</v>
      </c>
      <c r="P1145" s="5">
        <v>1254049140</v>
      </c>
    </row>
    <row r="1146" spans="1:16" x14ac:dyDescent="0.25">
      <c r="A1146" s="4">
        <v>2026</v>
      </c>
      <c r="B1146" s="4">
        <v>1</v>
      </c>
      <c r="C1146" s="12" t="s">
        <v>36</v>
      </c>
      <c r="D1146" s="4" t="s">
        <v>32</v>
      </c>
      <c r="E1146" s="4" t="s">
        <v>46</v>
      </c>
      <c r="F1146" s="4" t="s">
        <v>21</v>
      </c>
      <c r="G1146" s="5">
        <v>1396408</v>
      </c>
      <c r="H1146" s="5">
        <v>414041</v>
      </c>
      <c r="I1146" s="4">
        <v>157</v>
      </c>
      <c r="J1146" s="4">
        <v>1.64</v>
      </c>
      <c r="K1146" s="4">
        <v>6.44</v>
      </c>
      <c r="L1146" s="4">
        <v>4.25</v>
      </c>
      <c r="M1146" s="4">
        <v>5.63</v>
      </c>
      <c r="N1146" s="4">
        <v>489</v>
      </c>
      <c r="O1146" s="4" t="s">
        <v>49</v>
      </c>
      <c r="P1146" s="5">
        <v>682843512</v>
      </c>
    </row>
    <row r="1147" spans="1:16" x14ac:dyDescent="0.25">
      <c r="A1147" s="4">
        <v>2026</v>
      </c>
      <c r="B1147" s="4">
        <v>1</v>
      </c>
      <c r="C1147" s="12" t="s">
        <v>28</v>
      </c>
      <c r="D1147" s="4" t="s">
        <v>27</v>
      </c>
      <c r="E1147" s="4" t="s">
        <v>48</v>
      </c>
      <c r="F1147" s="4" t="s">
        <v>18</v>
      </c>
      <c r="G1147" s="5">
        <v>1075077</v>
      </c>
      <c r="H1147" s="5">
        <v>458175</v>
      </c>
      <c r="I1147" s="4">
        <v>109</v>
      </c>
      <c r="J1147" s="4">
        <v>1.52</v>
      </c>
      <c r="K1147" s="4">
        <v>4.83</v>
      </c>
      <c r="L1147" s="4">
        <v>6.23</v>
      </c>
      <c r="M1147" s="4">
        <v>3.46</v>
      </c>
      <c r="N1147" s="4">
        <v>109</v>
      </c>
      <c r="O1147" s="4" t="s">
        <v>49</v>
      </c>
      <c r="P1147" s="5">
        <v>117183393</v>
      </c>
    </row>
    <row r="1148" spans="1:16" x14ac:dyDescent="0.25">
      <c r="A1148" s="4">
        <v>2025</v>
      </c>
      <c r="B1148" s="4">
        <v>7</v>
      </c>
      <c r="C1148" s="12" t="s">
        <v>30</v>
      </c>
      <c r="D1148" s="4" t="s">
        <v>22</v>
      </c>
      <c r="E1148" s="4" t="s">
        <v>48</v>
      </c>
      <c r="F1148" s="4" t="s">
        <v>18</v>
      </c>
      <c r="G1148" s="5">
        <v>1400443</v>
      </c>
      <c r="H1148" s="5">
        <v>185387</v>
      </c>
      <c r="I1148" s="4">
        <v>123</v>
      </c>
      <c r="J1148" s="4">
        <v>1.39</v>
      </c>
      <c r="K1148" s="4">
        <v>4.58</v>
      </c>
      <c r="L1148" s="4">
        <v>5.41</v>
      </c>
      <c r="M1148" s="4">
        <v>8.23</v>
      </c>
      <c r="N1148" s="4">
        <v>601</v>
      </c>
      <c r="O1148" s="4" t="s">
        <v>49</v>
      </c>
      <c r="P1148" s="5">
        <v>841666243</v>
      </c>
    </row>
    <row r="1149" spans="1:16" x14ac:dyDescent="0.25">
      <c r="A1149" s="4">
        <v>2025</v>
      </c>
      <c r="B1149" s="4">
        <v>10</v>
      </c>
      <c r="C1149" s="12" t="s">
        <v>28</v>
      </c>
      <c r="D1149" s="4" t="s">
        <v>37</v>
      </c>
      <c r="E1149" s="4" t="s">
        <v>48</v>
      </c>
      <c r="F1149" s="4" t="s">
        <v>15</v>
      </c>
      <c r="G1149" s="5">
        <v>2860296</v>
      </c>
      <c r="H1149" s="5">
        <v>496638</v>
      </c>
      <c r="I1149" s="4">
        <v>143</v>
      </c>
      <c r="J1149" s="4">
        <v>1.37</v>
      </c>
      <c r="K1149" s="4">
        <v>3.98</v>
      </c>
      <c r="L1149" s="4">
        <v>4.59</v>
      </c>
      <c r="M1149" s="4">
        <v>7.74</v>
      </c>
      <c r="N1149" s="4">
        <v>195</v>
      </c>
      <c r="O1149" s="4" t="s">
        <v>49</v>
      </c>
      <c r="P1149" s="5">
        <v>557757720</v>
      </c>
    </row>
    <row r="1150" spans="1:16" x14ac:dyDescent="0.25">
      <c r="A1150" s="4">
        <v>2026</v>
      </c>
      <c r="B1150" s="4">
        <v>3</v>
      </c>
      <c r="C1150" s="12" t="s">
        <v>36</v>
      </c>
      <c r="D1150" s="4" t="s">
        <v>16</v>
      </c>
      <c r="E1150" s="4" t="s">
        <v>48</v>
      </c>
      <c r="F1150" s="4" t="s">
        <v>18</v>
      </c>
      <c r="G1150" s="5">
        <v>2710717</v>
      </c>
      <c r="H1150" s="5">
        <v>123040</v>
      </c>
      <c r="I1150" s="4">
        <v>27</v>
      </c>
      <c r="J1150" s="4">
        <v>1.31</v>
      </c>
      <c r="K1150" s="4">
        <v>7.72</v>
      </c>
      <c r="L1150" s="4">
        <v>9.94</v>
      </c>
      <c r="M1150" s="4">
        <v>2.79</v>
      </c>
      <c r="N1150" s="4">
        <v>333</v>
      </c>
      <c r="O1150" s="4" t="s">
        <v>47</v>
      </c>
      <c r="P1150" s="5">
        <v>902668761</v>
      </c>
    </row>
    <row r="1151" spans="1:16" x14ac:dyDescent="0.25">
      <c r="A1151" s="4">
        <v>2026</v>
      </c>
      <c r="B1151" s="4">
        <v>3</v>
      </c>
      <c r="C1151" s="12" t="s">
        <v>34</v>
      </c>
      <c r="D1151" s="4" t="s">
        <v>24</v>
      </c>
      <c r="E1151" s="4" t="s">
        <v>48</v>
      </c>
      <c r="F1151" s="4" t="s">
        <v>25</v>
      </c>
      <c r="G1151" s="5">
        <v>2666351</v>
      </c>
      <c r="H1151" s="5">
        <v>161531</v>
      </c>
      <c r="I1151" s="4">
        <v>33</v>
      </c>
      <c r="J1151" s="4">
        <v>1.45</v>
      </c>
      <c r="K1151" s="4">
        <v>4.99</v>
      </c>
      <c r="L1151" s="4">
        <v>6.31</v>
      </c>
      <c r="M1151" s="4">
        <v>1.61</v>
      </c>
      <c r="N1151" s="4">
        <v>216</v>
      </c>
      <c r="O1151" s="4" t="s">
        <v>49</v>
      </c>
      <c r="P1151" s="5">
        <v>575931816</v>
      </c>
    </row>
    <row r="1152" spans="1:16" x14ac:dyDescent="0.25">
      <c r="A1152" s="4">
        <v>2025</v>
      </c>
      <c r="B1152" s="4">
        <v>6</v>
      </c>
      <c r="C1152" s="12" t="s">
        <v>30</v>
      </c>
      <c r="D1152" s="4" t="s">
        <v>24</v>
      </c>
      <c r="E1152" s="4" t="s">
        <v>48</v>
      </c>
      <c r="F1152" s="4" t="s">
        <v>18</v>
      </c>
      <c r="G1152" s="5">
        <v>4649117</v>
      </c>
      <c r="H1152" s="5">
        <v>371268</v>
      </c>
      <c r="I1152" s="4">
        <v>54</v>
      </c>
      <c r="J1152" s="4">
        <v>1.23</v>
      </c>
      <c r="K1152" s="4">
        <v>6.76</v>
      </c>
      <c r="L1152" s="4">
        <v>9.02</v>
      </c>
      <c r="M1152" s="4">
        <v>5.88</v>
      </c>
      <c r="N1152" s="4">
        <v>743</v>
      </c>
      <c r="O1152" s="4" t="s">
        <v>49</v>
      </c>
      <c r="P1152" s="5">
        <v>3454293931</v>
      </c>
    </row>
    <row r="1153" spans="1:16" x14ac:dyDescent="0.25">
      <c r="A1153" s="4">
        <v>2025</v>
      </c>
      <c r="B1153" s="4">
        <v>2</v>
      </c>
      <c r="C1153" s="12" t="s">
        <v>34</v>
      </c>
      <c r="D1153" s="4" t="s">
        <v>22</v>
      </c>
      <c r="E1153" s="4" t="s">
        <v>48</v>
      </c>
      <c r="F1153" s="4" t="s">
        <v>25</v>
      </c>
      <c r="G1153" s="5">
        <v>3773279</v>
      </c>
      <c r="H1153" s="5">
        <v>162305</v>
      </c>
      <c r="I1153" s="4">
        <v>125</v>
      </c>
      <c r="J1153" s="4">
        <v>1.6</v>
      </c>
      <c r="K1153" s="4">
        <v>5.71</v>
      </c>
      <c r="L1153" s="4">
        <v>6.44</v>
      </c>
      <c r="M1153" s="4">
        <v>9.58</v>
      </c>
      <c r="N1153" s="4">
        <v>689</v>
      </c>
      <c r="O1153" s="4" t="s">
        <v>49</v>
      </c>
      <c r="P1153" s="5">
        <v>2599789231</v>
      </c>
    </row>
    <row r="1154" spans="1:16" x14ac:dyDescent="0.25">
      <c r="A1154" s="4">
        <v>2025</v>
      </c>
      <c r="B1154" s="4">
        <v>3</v>
      </c>
      <c r="C1154" s="12" t="s">
        <v>34</v>
      </c>
      <c r="D1154" s="4" t="s">
        <v>37</v>
      </c>
      <c r="E1154" s="4" t="s">
        <v>48</v>
      </c>
      <c r="F1154" s="4" t="s">
        <v>21</v>
      </c>
      <c r="G1154" s="5">
        <v>2748786</v>
      </c>
      <c r="H1154" s="5">
        <v>208416</v>
      </c>
      <c r="I1154" s="4">
        <v>69</v>
      </c>
      <c r="J1154" s="4">
        <v>1.96</v>
      </c>
      <c r="K1154" s="4">
        <v>6.99</v>
      </c>
      <c r="L1154" s="4">
        <v>4.47</v>
      </c>
      <c r="M1154" s="4">
        <v>8.24</v>
      </c>
      <c r="N1154" s="4">
        <v>182</v>
      </c>
      <c r="O1154" s="4" t="s">
        <v>49</v>
      </c>
      <c r="P1154" s="5">
        <v>500279052</v>
      </c>
    </row>
    <row r="1155" spans="1:16" x14ac:dyDescent="0.25">
      <c r="A1155" s="4">
        <v>2025</v>
      </c>
      <c r="B1155" s="4">
        <v>6</v>
      </c>
      <c r="C1155" s="12" t="s">
        <v>28</v>
      </c>
      <c r="D1155" s="4" t="s">
        <v>32</v>
      </c>
      <c r="E1155" s="4" t="s">
        <v>46</v>
      </c>
      <c r="F1155" s="4" t="s">
        <v>18</v>
      </c>
      <c r="G1155" s="5">
        <v>4034735</v>
      </c>
      <c r="H1155" s="5">
        <v>368382</v>
      </c>
      <c r="I1155" s="4">
        <v>51</v>
      </c>
      <c r="J1155" s="4">
        <v>1.47</v>
      </c>
      <c r="K1155" s="4">
        <v>7.8</v>
      </c>
      <c r="L1155" s="4">
        <v>5.44</v>
      </c>
      <c r="M1155" s="4">
        <v>7.87</v>
      </c>
      <c r="N1155" s="4">
        <v>629</v>
      </c>
      <c r="O1155" s="4" t="s">
        <v>47</v>
      </c>
      <c r="P1155" s="5">
        <v>2537848315</v>
      </c>
    </row>
    <row r="1156" spans="1:16" x14ac:dyDescent="0.25">
      <c r="A1156" s="4">
        <v>2025</v>
      </c>
      <c r="B1156" s="4">
        <v>4</v>
      </c>
      <c r="C1156" s="12" t="s">
        <v>19</v>
      </c>
      <c r="D1156" s="4" t="s">
        <v>31</v>
      </c>
      <c r="E1156" s="4" t="s">
        <v>48</v>
      </c>
      <c r="F1156" s="4" t="s">
        <v>15</v>
      </c>
      <c r="G1156" s="5">
        <v>2867239</v>
      </c>
      <c r="H1156" s="5">
        <v>438164</v>
      </c>
      <c r="I1156" s="4">
        <v>142</v>
      </c>
      <c r="J1156" s="4">
        <v>1.7</v>
      </c>
      <c r="K1156" s="4">
        <v>3.46</v>
      </c>
      <c r="L1156" s="4">
        <v>5</v>
      </c>
      <c r="M1156" s="4">
        <v>8.66</v>
      </c>
      <c r="N1156" s="4">
        <v>623</v>
      </c>
      <c r="O1156" s="4" t="s">
        <v>47</v>
      </c>
      <c r="P1156" s="5">
        <v>1786289897</v>
      </c>
    </row>
    <row r="1157" spans="1:16" x14ac:dyDescent="0.25">
      <c r="A1157" s="4">
        <v>2025</v>
      </c>
      <c r="B1157" s="4">
        <v>11</v>
      </c>
      <c r="C1157" s="12" t="s">
        <v>34</v>
      </c>
      <c r="D1157" s="4" t="s">
        <v>37</v>
      </c>
      <c r="E1157" s="4" t="s">
        <v>48</v>
      </c>
      <c r="F1157" s="4" t="s">
        <v>18</v>
      </c>
      <c r="G1157" s="5">
        <v>2269857</v>
      </c>
      <c r="H1157" s="5">
        <v>334626</v>
      </c>
      <c r="I1157" s="4">
        <v>174</v>
      </c>
      <c r="J1157" s="4">
        <v>1.04</v>
      </c>
      <c r="K1157" s="4">
        <v>5.16</v>
      </c>
      <c r="L1157" s="4">
        <v>8.0399999999999991</v>
      </c>
      <c r="M1157" s="4">
        <v>8.4600000000000009</v>
      </c>
      <c r="N1157" s="4">
        <v>652</v>
      </c>
      <c r="O1157" s="4" t="s">
        <v>47</v>
      </c>
      <c r="P1157" s="5">
        <v>1479946764</v>
      </c>
    </row>
    <row r="1158" spans="1:16" x14ac:dyDescent="0.25">
      <c r="A1158" s="4">
        <v>2026</v>
      </c>
      <c r="B1158" s="4">
        <v>1</v>
      </c>
      <c r="C1158" s="12" t="s">
        <v>36</v>
      </c>
      <c r="D1158" s="4" t="s">
        <v>37</v>
      </c>
      <c r="E1158" s="4" t="s">
        <v>48</v>
      </c>
      <c r="F1158" s="4" t="s">
        <v>18</v>
      </c>
      <c r="G1158" s="5">
        <v>2279705</v>
      </c>
      <c r="H1158" s="5">
        <v>141725</v>
      </c>
      <c r="I1158" s="4">
        <v>93</v>
      </c>
      <c r="J1158" s="4">
        <v>1.52</v>
      </c>
      <c r="K1158" s="4">
        <v>7.91</v>
      </c>
      <c r="L1158" s="4">
        <v>4.8600000000000003</v>
      </c>
      <c r="M1158" s="4">
        <v>9.1</v>
      </c>
      <c r="N1158" s="4">
        <v>318</v>
      </c>
      <c r="O1158" s="4" t="s">
        <v>49</v>
      </c>
      <c r="P1158" s="5">
        <v>724946190</v>
      </c>
    </row>
    <row r="1159" spans="1:16" x14ac:dyDescent="0.25">
      <c r="A1159" s="4">
        <v>2025</v>
      </c>
      <c r="B1159" s="4">
        <v>7</v>
      </c>
      <c r="C1159" s="12" t="s">
        <v>19</v>
      </c>
      <c r="D1159" s="4" t="s">
        <v>29</v>
      </c>
      <c r="E1159" s="4" t="s">
        <v>46</v>
      </c>
      <c r="F1159" s="4" t="s">
        <v>25</v>
      </c>
      <c r="G1159" s="5">
        <v>1636215</v>
      </c>
      <c r="H1159" s="5">
        <v>445365</v>
      </c>
      <c r="I1159" s="4">
        <v>66</v>
      </c>
      <c r="J1159" s="4">
        <v>1.9</v>
      </c>
      <c r="K1159" s="4">
        <v>6.85</v>
      </c>
      <c r="L1159" s="4">
        <v>9.1</v>
      </c>
      <c r="M1159" s="4">
        <v>1.3</v>
      </c>
      <c r="N1159" s="4">
        <v>563</v>
      </c>
      <c r="O1159" s="4" t="s">
        <v>47</v>
      </c>
      <c r="P1159" s="5">
        <v>921189045</v>
      </c>
    </row>
    <row r="1160" spans="1:16" x14ac:dyDescent="0.25">
      <c r="A1160" s="4">
        <v>2025</v>
      </c>
      <c r="B1160" s="4">
        <v>12</v>
      </c>
      <c r="C1160" s="12" t="s">
        <v>36</v>
      </c>
      <c r="D1160" s="4" t="s">
        <v>22</v>
      </c>
      <c r="E1160" s="4" t="s">
        <v>48</v>
      </c>
      <c r="F1160" s="4" t="s">
        <v>15</v>
      </c>
      <c r="G1160" s="5">
        <v>4176713</v>
      </c>
      <c r="H1160" s="5">
        <v>161758</v>
      </c>
      <c r="I1160" s="4">
        <v>68</v>
      </c>
      <c r="J1160" s="4">
        <v>1.32</v>
      </c>
      <c r="K1160" s="4">
        <v>5.99</v>
      </c>
      <c r="L1160" s="4">
        <v>6.42</v>
      </c>
      <c r="M1160" s="4">
        <v>2.0499999999999998</v>
      </c>
      <c r="N1160" s="4">
        <v>378</v>
      </c>
      <c r="O1160" s="4" t="s">
        <v>47</v>
      </c>
      <c r="P1160" s="5">
        <v>1578797514</v>
      </c>
    </row>
    <row r="1161" spans="1:16" x14ac:dyDescent="0.25">
      <c r="A1161" s="4">
        <v>2026</v>
      </c>
      <c r="B1161" s="4">
        <v>3</v>
      </c>
      <c r="C1161" s="12" t="s">
        <v>34</v>
      </c>
      <c r="D1161" s="4" t="s">
        <v>37</v>
      </c>
      <c r="E1161" s="4" t="s">
        <v>48</v>
      </c>
      <c r="F1161" s="4" t="s">
        <v>25</v>
      </c>
      <c r="G1161" s="5">
        <v>2943269</v>
      </c>
      <c r="H1161" s="5">
        <v>498339</v>
      </c>
      <c r="I1161" s="4">
        <v>95</v>
      </c>
      <c r="J1161" s="4">
        <v>1.55</v>
      </c>
      <c r="K1161" s="4">
        <v>7.78</v>
      </c>
      <c r="L1161" s="4">
        <v>4.0599999999999996</v>
      </c>
      <c r="M1161" s="4">
        <v>9.08</v>
      </c>
      <c r="N1161" s="4">
        <v>56</v>
      </c>
      <c r="O1161" s="4" t="s">
        <v>49</v>
      </c>
      <c r="P1161" s="5">
        <v>164823064</v>
      </c>
    </row>
    <row r="1162" spans="1:16" x14ac:dyDescent="0.25">
      <c r="A1162" s="4">
        <v>2026</v>
      </c>
      <c r="B1162" s="4">
        <v>1</v>
      </c>
      <c r="C1162" s="12" t="s">
        <v>19</v>
      </c>
      <c r="D1162" s="4" t="s">
        <v>20</v>
      </c>
      <c r="E1162" s="4" t="s">
        <v>48</v>
      </c>
      <c r="F1162" s="4" t="s">
        <v>15</v>
      </c>
      <c r="G1162" s="5">
        <v>4043600</v>
      </c>
      <c r="H1162" s="5">
        <v>232041</v>
      </c>
      <c r="I1162" s="4">
        <v>119</v>
      </c>
      <c r="J1162" s="4">
        <v>1.4</v>
      </c>
      <c r="K1162" s="4">
        <v>5.27</v>
      </c>
      <c r="L1162" s="4">
        <v>5.95</v>
      </c>
      <c r="M1162" s="4">
        <v>4.84</v>
      </c>
      <c r="N1162" s="4">
        <v>444</v>
      </c>
      <c r="O1162" s="4" t="s">
        <v>47</v>
      </c>
      <c r="P1162" s="5">
        <v>1795358400</v>
      </c>
    </row>
    <row r="1163" spans="1:16" x14ac:dyDescent="0.25">
      <c r="A1163" s="4">
        <v>2026</v>
      </c>
      <c r="B1163" s="4">
        <v>2</v>
      </c>
      <c r="C1163" s="12" t="s">
        <v>30</v>
      </c>
      <c r="D1163" s="4" t="s">
        <v>37</v>
      </c>
      <c r="E1163" s="4" t="s">
        <v>48</v>
      </c>
      <c r="F1163" s="4" t="s">
        <v>18</v>
      </c>
      <c r="G1163" s="5">
        <v>4899863</v>
      </c>
      <c r="H1163" s="5">
        <v>461820</v>
      </c>
      <c r="I1163" s="4">
        <v>63</v>
      </c>
      <c r="J1163" s="4">
        <v>1.83</v>
      </c>
      <c r="K1163" s="4">
        <v>4.1900000000000004</v>
      </c>
      <c r="L1163" s="4">
        <v>8.57</v>
      </c>
      <c r="M1163" s="4">
        <v>9.02</v>
      </c>
      <c r="N1163" s="4">
        <v>413</v>
      </c>
      <c r="O1163" s="4" t="s">
        <v>49</v>
      </c>
      <c r="P1163" s="5">
        <v>2023643419</v>
      </c>
    </row>
    <row r="1164" spans="1:16" x14ac:dyDescent="0.25">
      <c r="A1164" s="4">
        <v>2025</v>
      </c>
      <c r="B1164" s="4">
        <v>3</v>
      </c>
      <c r="C1164" s="12" t="s">
        <v>30</v>
      </c>
      <c r="D1164" s="4" t="s">
        <v>24</v>
      </c>
      <c r="E1164" s="4" t="s">
        <v>48</v>
      </c>
      <c r="F1164" s="4" t="s">
        <v>21</v>
      </c>
      <c r="G1164" s="5">
        <v>4211691</v>
      </c>
      <c r="H1164" s="5">
        <v>491087</v>
      </c>
      <c r="I1164" s="4">
        <v>83</v>
      </c>
      <c r="J1164" s="4">
        <v>1.03</v>
      </c>
      <c r="K1164" s="4">
        <v>5.56</v>
      </c>
      <c r="L1164" s="4">
        <v>7.09</v>
      </c>
      <c r="M1164" s="4">
        <v>1.1299999999999999</v>
      </c>
      <c r="N1164" s="4">
        <v>257</v>
      </c>
      <c r="O1164" s="4" t="s">
        <v>47</v>
      </c>
      <c r="P1164" s="5">
        <v>1082404587</v>
      </c>
    </row>
    <row r="1165" spans="1:16" x14ac:dyDescent="0.25">
      <c r="A1165" s="4">
        <v>2025</v>
      </c>
      <c r="B1165" s="4">
        <v>5</v>
      </c>
      <c r="C1165" s="12" t="s">
        <v>28</v>
      </c>
      <c r="D1165" s="4" t="s">
        <v>22</v>
      </c>
      <c r="E1165" s="4" t="s">
        <v>48</v>
      </c>
      <c r="F1165" s="4" t="s">
        <v>21</v>
      </c>
      <c r="G1165" s="5">
        <v>1238546</v>
      </c>
      <c r="H1165" s="5">
        <v>184282</v>
      </c>
      <c r="I1165" s="4">
        <v>161</v>
      </c>
      <c r="J1165" s="4">
        <v>1.2</v>
      </c>
      <c r="K1165" s="4">
        <v>3.15</v>
      </c>
      <c r="L1165" s="4">
        <v>5.36</v>
      </c>
      <c r="M1165" s="4">
        <v>6.6</v>
      </c>
      <c r="N1165" s="4">
        <v>534</v>
      </c>
      <c r="O1165" s="4" t="s">
        <v>49</v>
      </c>
      <c r="P1165" s="5">
        <v>661383564</v>
      </c>
    </row>
    <row r="1166" spans="1:16" x14ac:dyDescent="0.25">
      <c r="A1166" s="4">
        <v>2026</v>
      </c>
      <c r="B1166" s="4">
        <v>2</v>
      </c>
      <c r="C1166" s="12" t="s">
        <v>28</v>
      </c>
      <c r="D1166" s="4" t="s">
        <v>27</v>
      </c>
      <c r="E1166" s="4" t="s">
        <v>48</v>
      </c>
      <c r="F1166" s="4" t="s">
        <v>15</v>
      </c>
      <c r="G1166" s="5">
        <v>1825905</v>
      </c>
      <c r="H1166" s="5">
        <v>318366</v>
      </c>
      <c r="I1166" s="4">
        <v>135</v>
      </c>
      <c r="J1166" s="4">
        <v>1.17</v>
      </c>
      <c r="K1166" s="4">
        <v>5.16</v>
      </c>
      <c r="L1166" s="4">
        <v>5.92</v>
      </c>
      <c r="M1166" s="4">
        <v>1.67</v>
      </c>
      <c r="N1166" s="4">
        <v>705</v>
      </c>
      <c r="O1166" s="4" t="s">
        <v>47</v>
      </c>
      <c r="P1166" s="5">
        <v>1287263025</v>
      </c>
    </row>
    <row r="1167" spans="1:16" x14ac:dyDescent="0.25">
      <c r="A1167" s="4">
        <v>2025</v>
      </c>
      <c r="B1167" s="4">
        <v>11</v>
      </c>
      <c r="C1167" s="12" t="s">
        <v>30</v>
      </c>
      <c r="D1167" s="4" t="s">
        <v>24</v>
      </c>
      <c r="E1167" s="4" t="s">
        <v>48</v>
      </c>
      <c r="F1167" s="4" t="s">
        <v>21</v>
      </c>
      <c r="G1167" s="5">
        <v>4274267</v>
      </c>
      <c r="H1167" s="5">
        <v>124675</v>
      </c>
      <c r="I1167" s="4">
        <v>178</v>
      </c>
      <c r="J1167" s="4">
        <v>1.77</v>
      </c>
      <c r="K1167" s="4">
        <v>5.89</v>
      </c>
      <c r="L1167" s="4">
        <v>9.2799999999999994</v>
      </c>
      <c r="M1167" s="4">
        <v>1.88</v>
      </c>
      <c r="N1167" s="4">
        <v>526</v>
      </c>
      <c r="O1167" s="4" t="s">
        <v>49</v>
      </c>
      <c r="P1167" s="5">
        <v>2248264442</v>
      </c>
    </row>
    <row r="1168" spans="1:16" x14ac:dyDescent="0.25">
      <c r="A1168" s="4">
        <v>2025</v>
      </c>
      <c r="B1168" s="4">
        <v>1</v>
      </c>
      <c r="C1168" s="12" t="s">
        <v>19</v>
      </c>
      <c r="D1168" s="4" t="s">
        <v>32</v>
      </c>
      <c r="E1168" s="4" t="s">
        <v>46</v>
      </c>
      <c r="F1168" s="4" t="s">
        <v>18</v>
      </c>
      <c r="G1168" s="5">
        <v>2644662</v>
      </c>
      <c r="H1168" s="5">
        <v>422508</v>
      </c>
      <c r="I1168" s="4">
        <v>33</v>
      </c>
      <c r="J1168" s="4">
        <v>1.75</v>
      </c>
      <c r="K1168" s="4">
        <v>5.81</v>
      </c>
      <c r="L1168" s="4">
        <v>9.02</v>
      </c>
      <c r="M1168" s="4">
        <v>3.5</v>
      </c>
      <c r="N1168" s="4">
        <v>381</v>
      </c>
      <c r="O1168" s="4" t="s">
        <v>47</v>
      </c>
      <c r="P1168" s="5">
        <v>1007616222</v>
      </c>
    </row>
    <row r="1169" spans="1:16" x14ac:dyDescent="0.25">
      <c r="A1169" s="4">
        <v>2025</v>
      </c>
      <c r="B1169" s="4">
        <v>7</v>
      </c>
      <c r="C1169" s="12" t="s">
        <v>19</v>
      </c>
      <c r="D1169" s="4" t="s">
        <v>31</v>
      </c>
      <c r="E1169" s="4" t="s">
        <v>48</v>
      </c>
      <c r="F1169" s="4" t="s">
        <v>21</v>
      </c>
      <c r="G1169" s="5">
        <v>4839233</v>
      </c>
      <c r="H1169" s="5">
        <v>103244</v>
      </c>
      <c r="I1169" s="4">
        <v>29</v>
      </c>
      <c r="J1169" s="4">
        <v>1.59</v>
      </c>
      <c r="K1169" s="4">
        <v>4.09</v>
      </c>
      <c r="L1169" s="4">
        <v>8.1</v>
      </c>
      <c r="M1169" s="4">
        <v>9.85</v>
      </c>
      <c r="N1169" s="4">
        <v>407</v>
      </c>
      <c r="O1169" s="4" t="s">
        <v>49</v>
      </c>
      <c r="P1169" s="5">
        <v>1969567831</v>
      </c>
    </row>
    <row r="1170" spans="1:16" x14ac:dyDescent="0.25">
      <c r="A1170" s="4">
        <v>2025</v>
      </c>
      <c r="B1170" s="4">
        <v>1</v>
      </c>
      <c r="C1170" s="12" t="s">
        <v>30</v>
      </c>
      <c r="D1170" s="4" t="s">
        <v>31</v>
      </c>
      <c r="E1170" s="4" t="s">
        <v>48</v>
      </c>
      <c r="F1170" s="4" t="s">
        <v>21</v>
      </c>
      <c r="G1170" s="5">
        <v>1004941</v>
      </c>
      <c r="H1170" s="5">
        <v>144893</v>
      </c>
      <c r="I1170" s="4">
        <v>110</v>
      </c>
      <c r="J1170" s="4">
        <v>1.99</v>
      </c>
      <c r="K1170" s="4">
        <v>7.09</v>
      </c>
      <c r="L1170" s="4">
        <v>6.04</v>
      </c>
      <c r="M1170" s="4">
        <v>2.37</v>
      </c>
      <c r="N1170" s="4">
        <v>96</v>
      </c>
      <c r="O1170" s="4" t="s">
        <v>49</v>
      </c>
      <c r="P1170" s="5">
        <v>96474336</v>
      </c>
    </row>
    <row r="1171" spans="1:16" x14ac:dyDescent="0.25">
      <c r="A1171" s="4">
        <v>2026</v>
      </c>
      <c r="B1171" s="4">
        <v>2</v>
      </c>
      <c r="C1171" s="12" t="s">
        <v>19</v>
      </c>
      <c r="D1171" s="4" t="s">
        <v>16</v>
      </c>
      <c r="E1171" s="4" t="s">
        <v>48</v>
      </c>
      <c r="F1171" s="4" t="s">
        <v>21</v>
      </c>
      <c r="G1171" s="5">
        <v>1873406</v>
      </c>
      <c r="H1171" s="5">
        <v>388484</v>
      </c>
      <c r="I1171" s="4">
        <v>183</v>
      </c>
      <c r="J1171" s="4">
        <v>1.51</v>
      </c>
      <c r="K1171" s="4">
        <v>7.27</v>
      </c>
      <c r="L1171" s="4">
        <v>6.61</v>
      </c>
      <c r="M1171" s="4">
        <v>3.39</v>
      </c>
      <c r="N1171" s="4">
        <v>197</v>
      </c>
      <c r="O1171" s="4" t="s">
        <v>47</v>
      </c>
      <c r="P1171" s="5">
        <v>369060982</v>
      </c>
    </row>
    <row r="1172" spans="1:16" x14ac:dyDescent="0.25">
      <c r="A1172" s="4">
        <v>2026</v>
      </c>
      <c r="B1172" s="4">
        <v>2</v>
      </c>
      <c r="C1172" s="12" t="s">
        <v>19</v>
      </c>
      <c r="D1172" s="4" t="s">
        <v>24</v>
      </c>
      <c r="E1172" s="4" t="s">
        <v>48</v>
      </c>
      <c r="F1172" s="4" t="s">
        <v>18</v>
      </c>
      <c r="G1172" s="5">
        <v>4887808</v>
      </c>
      <c r="H1172" s="5">
        <v>166884</v>
      </c>
      <c r="I1172" s="4">
        <v>121</v>
      </c>
      <c r="J1172" s="4">
        <v>1.81</v>
      </c>
      <c r="K1172" s="4">
        <v>3.05</v>
      </c>
      <c r="L1172" s="4">
        <v>4.93</v>
      </c>
      <c r="M1172" s="4">
        <v>4.3899999999999997</v>
      </c>
      <c r="N1172" s="4">
        <v>341</v>
      </c>
      <c r="O1172" s="4" t="s">
        <v>47</v>
      </c>
      <c r="P1172" s="5">
        <v>1666742528</v>
      </c>
    </row>
    <row r="1173" spans="1:16" x14ac:dyDescent="0.25">
      <c r="A1173" s="4">
        <v>2026</v>
      </c>
      <c r="B1173" s="4">
        <v>2</v>
      </c>
      <c r="C1173" s="12" t="s">
        <v>30</v>
      </c>
      <c r="D1173" s="4" t="s">
        <v>20</v>
      </c>
      <c r="E1173" s="4" t="s">
        <v>48</v>
      </c>
      <c r="F1173" s="4" t="s">
        <v>21</v>
      </c>
      <c r="G1173" s="5">
        <v>1022154</v>
      </c>
      <c r="H1173" s="5">
        <v>489052</v>
      </c>
      <c r="I1173" s="4">
        <v>163</v>
      </c>
      <c r="J1173" s="4">
        <v>1.99</v>
      </c>
      <c r="K1173" s="4">
        <v>6.22</v>
      </c>
      <c r="L1173" s="4">
        <v>4.5599999999999996</v>
      </c>
      <c r="M1173" s="4">
        <v>7.96</v>
      </c>
      <c r="N1173" s="4">
        <v>604</v>
      </c>
      <c r="O1173" s="4" t="s">
        <v>49</v>
      </c>
      <c r="P1173" s="5">
        <v>617381016</v>
      </c>
    </row>
    <row r="1174" spans="1:16" x14ac:dyDescent="0.25">
      <c r="A1174" s="4">
        <v>2026</v>
      </c>
      <c r="B1174" s="4">
        <v>1</v>
      </c>
      <c r="C1174" s="12" t="s">
        <v>30</v>
      </c>
      <c r="D1174" s="4" t="s">
        <v>20</v>
      </c>
      <c r="E1174" s="4" t="s">
        <v>48</v>
      </c>
      <c r="F1174" s="4" t="s">
        <v>21</v>
      </c>
      <c r="G1174" s="5">
        <v>2241791</v>
      </c>
      <c r="H1174" s="5">
        <v>335332</v>
      </c>
      <c r="I1174" s="4">
        <v>115</v>
      </c>
      <c r="J1174" s="4">
        <v>1.08</v>
      </c>
      <c r="K1174" s="4">
        <v>3.76</v>
      </c>
      <c r="L1174" s="4">
        <v>4.3099999999999996</v>
      </c>
      <c r="M1174" s="4">
        <v>3.04</v>
      </c>
      <c r="N1174" s="4">
        <v>695</v>
      </c>
      <c r="O1174" s="4" t="s">
        <v>47</v>
      </c>
      <c r="P1174" s="5">
        <v>1558044745</v>
      </c>
    </row>
    <row r="1175" spans="1:16" x14ac:dyDescent="0.25">
      <c r="A1175" s="4">
        <v>2026</v>
      </c>
      <c r="B1175" s="4">
        <v>3</v>
      </c>
      <c r="C1175" s="12" t="s">
        <v>19</v>
      </c>
      <c r="D1175" s="4" t="s">
        <v>27</v>
      </c>
      <c r="E1175" s="4" t="s">
        <v>48</v>
      </c>
      <c r="F1175" s="4" t="s">
        <v>25</v>
      </c>
      <c r="G1175" s="5">
        <v>4919577</v>
      </c>
      <c r="H1175" s="5">
        <v>479311</v>
      </c>
      <c r="I1175" s="4">
        <v>36</v>
      </c>
      <c r="J1175" s="4">
        <v>1.19</v>
      </c>
      <c r="K1175" s="4">
        <v>5.07</v>
      </c>
      <c r="L1175" s="4">
        <v>7.14</v>
      </c>
      <c r="M1175" s="4">
        <v>1.4</v>
      </c>
      <c r="N1175" s="4">
        <v>211</v>
      </c>
      <c r="O1175" s="4" t="s">
        <v>47</v>
      </c>
      <c r="P1175" s="5">
        <v>1038030747</v>
      </c>
    </row>
    <row r="1176" spans="1:16" x14ac:dyDescent="0.25">
      <c r="A1176" s="4">
        <v>2026</v>
      </c>
      <c r="B1176" s="4">
        <v>3</v>
      </c>
      <c r="C1176" s="12" t="s">
        <v>19</v>
      </c>
      <c r="D1176" s="4" t="s">
        <v>24</v>
      </c>
      <c r="E1176" s="4" t="s">
        <v>48</v>
      </c>
      <c r="F1176" s="4" t="s">
        <v>18</v>
      </c>
      <c r="G1176" s="5">
        <v>4108728</v>
      </c>
      <c r="H1176" s="5">
        <v>385188</v>
      </c>
      <c r="I1176" s="4">
        <v>89</v>
      </c>
      <c r="J1176" s="4">
        <v>1.67</v>
      </c>
      <c r="K1176" s="4">
        <v>3.16</v>
      </c>
      <c r="L1176" s="4">
        <v>6.39</v>
      </c>
      <c r="M1176" s="4">
        <v>3.87</v>
      </c>
      <c r="N1176" s="4">
        <v>640</v>
      </c>
      <c r="O1176" s="4" t="s">
        <v>47</v>
      </c>
      <c r="P1176" s="5">
        <v>2629585920</v>
      </c>
    </row>
    <row r="1177" spans="1:16" x14ac:dyDescent="0.25">
      <c r="A1177" s="4">
        <v>2026</v>
      </c>
      <c r="B1177" s="4">
        <v>2</v>
      </c>
      <c r="C1177" s="12" t="s">
        <v>30</v>
      </c>
      <c r="D1177" s="4" t="s">
        <v>13</v>
      </c>
      <c r="E1177" s="4" t="s">
        <v>50</v>
      </c>
      <c r="F1177" s="4" t="s">
        <v>18</v>
      </c>
      <c r="G1177" s="5">
        <v>2764048</v>
      </c>
      <c r="H1177" s="5">
        <v>446219</v>
      </c>
      <c r="I1177" s="4">
        <v>104</v>
      </c>
      <c r="J1177" s="4">
        <v>1.56</v>
      </c>
      <c r="K1177" s="4">
        <v>6.59</v>
      </c>
      <c r="L1177" s="4">
        <v>8.81</v>
      </c>
      <c r="M1177" s="4">
        <v>1.24</v>
      </c>
      <c r="N1177" s="4">
        <v>761</v>
      </c>
      <c r="O1177" s="4" t="s">
        <v>49</v>
      </c>
      <c r="P1177" s="5">
        <v>2103440528</v>
      </c>
    </row>
    <row r="1178" spans="1:16" x14ac:dyDescent="0.25">
      <c r="A1178" s="4">
        <v>2026</v>
      </c>
      <c r="B1178" s="4">
        <v>1</v>
      </c>
      <c r="C1178" s="12" t="s">
        <v>30</v>
      </c>
      <c r="D1178" s="4" t="s">
        <v>24</v>
      </c>
      <c r="E1178" s="4" t="s">
        <v>48</v>
      </c>
      <c r="F1178" s="4" t="s">
        <v>15</v>
      </c>
      <c r="G1178" s="5">
        <v>2733211</v>
      </c>
      <c r="H1178" s="5">
        <v>257794</v>
      </c>
      <c r="I1178" s="4">
        <v>79</v>
      </c>
      <c r="J1178" s="4">
        <v>1.97</v>
      </c>
      <c r="K1178" s="4">
        <v>4.53</v>
      </c>
      <c r="L1178" s="4">
        <v>5.36</v>
      </c>
      <c r="M1178" s="4">
        <v>1.61</v>
      </c>
      <c r="N1178" s="4">
        <v>144</v>
      </c>
      <c r="O1178" s="4" t="s">
        <v>49</v>
      </c>
      <c r="P1178" s="5">
        <v>393582384</v>
      </c>
    </row>
    <row r="1179" spans="1:16" x14ac:dyDescent="0.25">
      <c r="A1179" s="4">
        <v>2026</v>
      </c>
      <c r="B1179" s="4">
        <v>1</v>
      </c>
      <c r="C1179" s="12" t="s">
        <v>36</v>
      </c>
      <c r="D1179" s="4" t="s">
        <v>37</v>
      </c>
      <c r="E1179" s="4" t="s">
        <v>48</v>
      </c>
      <c r="F1179" s="4" t="s">
        <v>21</v>
      </c>
      <c r="G1179" s="5">
        <v>4357031</v>
      </c>
      <c r="H1179" s="5">
        <v>180204</v>
      </c>
      <c r="I1179" s="4">
        <v>140</v>
      </c>
      <c r="J1179" s="4">
        <v>1.36</v>
      </c>
      <c r="K1179" s="4">
        <v>4.57</v>
      </c>
      <c r="L1179" s="4">
        <v>7.47</v>
      </c>
      <c r="M1179" s="4">
        <v>7.15</v>
      </c>
      <c r="N1179" s="4">
        <v>62</v>
      </c>
      <c r="O1179" s="4" t="s">
        <v>47</v>
      </c>
      <c r="P1179" s="5">
        <v>270135922</v>
      </c>
    </row>
    <row r="1180" spans="1:16" x14ac:dyDescent="0.25">
      <c r="A1180" s="4">
        <v>2026</v>
      </c>
      <c r="B1180" s="4">
        <v>2</v>
      </c>
      <c r="C1180" s="12" t="s">
        <v>36</v>
      </c>
      <c r="D1180" s="4" t="s">
        <v>32</v>
      </c>
      <c r="E1180" s="4" t="s">
        <v>46</v>
      </c>
      <c r="F1180" s="4" t="s">
        <v>25</v>
      </c>
      <c r="G1180" s="5">
        <v>3305216</v>
      </c>
      <c r="H1180" s="5">
        <v>233330</v>
      </c>
      <c r="I1180" s="4">
        <v>100</v>
      </c>
      <c r="J1180" s="4">
        <v>1.0900000000000001</v>
      </c>
      <c r="K1180" s="4">
        <v>7.21</v>
      </c>
      <c r="L1180" s="4">
        <v>9.9</v>
      </c>
      <c r="M1180" s="4">
        <v>5.04</v>
      </c>
      <c r="N1180" s="4">
        <v>186</v>
      </c>
      <c r="O1180" s="4" t="s">
        <v>49</v>
      </c>
      <c r="P1180" s="5">
        <v>614770176</v>
      </c>
    </row>
    <row r="1181" spans="1:16" x14ac:dyDescent="0.25">
      <c r="A1181" s="4">
        <v>2025</v>
      </c>
      <c r="B1181" s="4">
        <v>10</v>
      </c>
      <c r="C1181" s="12" t="s">
        <v>34</v>
      </c>
      <c r="D1181" s="4" t="s">
        <v>29</v>
      </c>
      <c r="E1181" s="4" t="s">
        <v>46</v>
      </c>
      <c r="F1181" s="4" t="s">
        <v>15</v>
      </c>
      <c r="G1181" s="5">
        <v>4051351</v>
      </c>
      <c r="H1181" s="5">
        <v>206487</v>
      </c>
      <c r="I1181" s="4">
        <v>145</v>
      </c>
      <c r="J1181" s="4">
        <v>1.64</v>
      </c>
      <c r="K1181" s="4">
        <v>3.3</v>
      </c>
      <c r="L1181" s="4">
        <v>7.69</v>
      </c>
      <c r="M1181" s="4">
        <v>9.5</v>
      </c>
      <c r="N1181" s="4">
        <v>292</v>
      </c>
      <c r="O1181" s="4" t="s">
        <v>49</v>
      </c>
      <c r="P1181" s="5">
        <v>1182994492</v>
      </c>
    </row>
    <row r="1182" spans="1:16" x14ac:dyDescent="0.25">
      <c r="A1182" s="4">
        <v>2026</v>
      </c>
      <c r="B1182" s="4">
        <v>3</v>
      </c>
      <c r="C1182" s="12" t="s">
        <v>34</v>
      </c>
      <c r="D1182" s="4" t="s">
        <v>22</v>
      </c>
      <c r="E1182" s="4" t="s">
        <v>48</v>
      </c>
      <c r="F1182" s="4" t="s">
        <v>15</v>
      </c>
      <c r="G1182" s="5">
        <v>1123937</v>
      </c>
      <c r="H1182" s="5">
        <v>230524</v>
      </c>
      <c r="I1182" s="4">
        <v>61</v>
      </c>
      <c r="J1182" s="4">
        <v>1.93</v>
      </c>
      <c r="K1182" s="4">
        <v>5.4</v>
      </c>
      <c r="L1182" s="4">
        <v>7.55</v>
      </c>
      <c r="M1182" s="4">
        <v>8.4600000000000009</v>
      </c>
      <c r="N1182" s="4">
        <v>74</v>
      </c>
      <c r="O1182" s="4" t="s">
        <v>47</v>
      </c>
      <c r="P1182" s="5">
        <v>83171338</v>
      </c>
    </row>
    <row r="1183" spans="1:16" x14ac:dyDescent="0.25">
      <c r="A1183" s="4">
        <v>2026</v>
      </c>
      <c r="B1183" s="4">
        <v>1</v>
      </c>
      <c r="C1183" s="12" t="s">
        <v>28</v>
      </c>
      <c r="D1183" s="4" t="s">
        <v>22</v>
      </c>
      <c r="E1183" s="4" t="s">
        <v>48</v>
      </c>
      <c r="F1183" s="4" t="s">
        <v>18</v>
      </c>
      <c r="G1183" s="5">
        <v>1453178</v>
      </c>
      <c r="H1183" s="5">
        <v>482506</v>
      </c>
      <c r="I1183" s="4">
        <v>112</v>
      </c>
      <c r="J1183" s="4">
        <v>1.1299999999999999</v>
      </c>
      <c r="K1183" s="4">
        <v>7.82</v>
      </c>
      <c r="L1183" s="4">
        <v>8.69</v>
      </c>
      <c r="M1183" s="4">
        <v>2.5</v>
      </c>
      <c r="N1183" s="4">
        <v>480</v>
      </c>
      <c r="O1183" s="4" t="s">
        <v>47</v>
      </c>
      <c r="P1183" s="5">
        <v>697525440</v>
      </c>
    </row>
    <row r="1184" spans="1:16" x14ac:dyDescent="0.25">
      <c r="A1184" s="4">
        <v>2026</v>
      </c>
      <c r="B1184" s="4">
        <v>1</v>
      </c>
      <c r="C1184" s="12" t="s">
        <v>30</v>
      </c>
      <c r="D1184" s="4" t="s">
        <v>37</v>
      </c>
      <c r="E1184" s="4" t="s">
        <v>48</v>
      </c>
      <c r="F1184" s="4" t="s">
        <v>18</v>
      </c>
      <c r="G1184" s="5">
        <v>3041326</v>
      </c>
      <c r="H1184" s="5">
        <v>421598</v>
      </c>
      <c r="I1184" s="4">
        <v>98</v>
      </c>
      <c r="J1184" s="4">
        <v>1.78</v>
      </c>
      <c r="K1184" s="4">
        <v>6.76</v>
      </c>
      <c r="L1184" s="4">
        <v>6.35</v>
      </c>
      <c r="M1184" s="4">
        <v>2.78</v>
      </c>
      <c r="N1184" s="4">
        <v>404</v>
      </c>
      <c r="O1184" s="4" t="s">
        <v>47</v>
      </c>
      <c r="P1184" s="5">
        <v>1228695704</v>
      </c>
    </row>
    <row r="1185" spans="1:16" x14ac:dyDescent="0.25">
      <c r="A1185" s="4">
        <v>2026</v>
      </c>
      <c r="B1185" s="4">
        <v>1</v>
      </c>
      <c r="C1185" s="12" t="s">
        <v>28</v>
      </c>
      <c r="D1185" s="4" t="s">
        <v>22</v>
      </c>
      <c r="E1185" s="4" t="s">
        <v>48</v>
      </c>
      <c r="F1185" s="4" t="s">
        <v>18</v>
      </c>
      <c r="G1185" s="5">
        <v>3470221</v>
      </c>
      <c r="H1185" s="5">
        <v>495997</v>
      </c>
      <c r="I1185" s="4">
        <v>98</v>
      </c>
      <c r="J1185" s="4">
        <v>1.83</v>
      </c>
      <c r="K1185" s="4">
        <v>3.35</v>
      </c>
      <c r="L1185" s="4">
        <v>9.1999999999999993</v>
      </c>
      <c r="M1185" s="4">
        <v>4.7699999999999996</v>
      </c>
      <c r="N1185" s="4">
        <v>350</v>
      </c>
      <c r="O1185" s="4" t="s">
        <v>47</v>
      </c>
      <c r="P1185" s="5">
        <v>1214577350</v>
      </c>
    </row>
    <row r="1186" spans="1:16" x14ac:dyDescent="0.25">
      <c r="A1186" s="4">
        <v>2025</v>
      </c>
      <c r="B1186" s="4">
        <v>3</v>
      </c>
      <c r="C1186" s="12" t="s">
        <v>19</v>
      </c>
      <c r="D1186" s="4" t="s">
        <v>29</v>
      </c>
      <c r="E1186" s="4" t="s">
        <v>46</v>
      </c>
      <c r="F1186" s="4" t="s">
        <v>25</v>
      </c>
      <c r="G1186" s="5">
        <v>4383313</v>
      </c>
      <c r="H1186" s="5">
        <v>319866</v>
      </c>
      <c r="I1186" s="4">
        <v>96</v>
      </c>
      <c r="J1186" s="4">
        <v>1.67</v>
      </c>
      <c r="K1186" s="4">
        <v>3.89</v>
      </c>
      <c r="L1186" s="4">
        <v>9.0299999999999994</v>
      </c>
      <c r="M1186" s="4">
        <v>1.57</v>
      </c>
      <c r="N1186" s="4">
        <v>253</v>
      </c>
      <c r="O1186" s="4" t="s">
        <v>49</v>
      </c>
      <c r="P1186" s="5">
        <v>1108978189</v>
      </c>
    </row>
    <row r="1187" spans="1:16" x14ac:dyDescent="0.25">
      <c r="A1187" s="4">
        <v>2026</v>
      </c>
      <c r="B1187" s="4">
        <v>2</v>
      </c>
      <c r="C1187" s="12" t="s">
        <v>30</v>
      </c>
      <c r="D1187" s="4" t="s">
        <v>22</v>
      </c>
      <c r="E1187" s="4" t="s">
        <v>48</v>
      </c>
      <c r="F1187" s="4" t="s">
        <v>25</v>
      </c>
      <c r="G1187" s="5">
        <v>4972987</v>
      </c>
      <c r="H1187" s="5">
        <v>238737</v>
      </c>
      <c r="I1187" s="4">
        <v>128</v>
      </c>
      <c r="J1187" s="4">
        <v>1.06</v>
      </c>
      <c r="K1187" s="4">
        <v>4.0999999999999996</v>
      </c>
      <c r="L1187" s="4">
        <v>9.06</v>
      </c>
      <c r="M1187" s="4">
        <v>2.4700000000000002</v>
      </c>
      <c r="N1187" s="4">
        <v>605</v>
      </c>
      <c r="O1187" s="4" t="s">
        <v>47</v>
      </c>
      <c r="P1187" s="5">
        <v>3008657135</v>
      </c>
    </row>
    <row r="1188" spans="1:16" x14ac:dyDescent="0.25">
      <c r="A1188" s="4">
        <v>2026</v>
      </c>
      <c r="B1188" s="4">
        <v>2</v>
      </c>
      <c r="C1188" s="12" t="s">
        <v>28</v>
      </c>
      <c r="D1188" s="4" t="s">
        <v>13</v>
      </c>
      <c r="E1188" s="4" t="s">
        <v>50</v>
      </c>
      <c r="F1188" s="4" t="s">
        <v>18</v>
      </c>
      <c r="G1188" s="5">
        <v>3967433</v>
      </c>
      <c r="H1188" s="5">
        <v>383099</v>
      </c>
      <c r="I1188" s="4">
        <v>36</v>
      </c>
      <c r="J1188" s="4">
        <v>1.46</v>
      </c>
      <c r="K1188" s="4">
        <v>6.63</v>
      </c>
      <c r="L1188" s="4">
        <v>6.85</v>
      </c>
      <c r="M1188" s="4">
        <v>9.14</v>
      </c>
      <c r="N1188" s="4">
        <v>586</v>
      </c>
      <c r="O1188" s="4" t="s">
        <v>47</v>
      </c>
      <c r="P1188" s="5">
        <v>2324915738</v>
      </c>
    </row>
    <row r="1189" spans="1:16" x14ac:dyDescent="0.25">
      <c r="A1189" s="4">
        <v>2026</v>
      </c>
      <c r="B1189" s="4">
        <v>3</v>
      </c>
      <c r="C1189" s="12" t="s">
        <v>30</v>
      </c>
      <c r="D1189" s="4" t="s">
        <v>16</v>
      </c>
      <c r="E1189" s="4" t="s">
        <v>48</v>
      </c>
      <c r="F1189" s="4" t="s">
        <v>15</v>
      </c>
      <c r="G1189" s="5">
        <v>3479499</v>
      </c>
      <c r="H1189" s="5">
        <v>320639</v>
      </c>
      <c r="I1189" s="4">
        <v>25</v>
      </c>
      <c r="J1189" s="4">
        <v>1.27</v>
      </c>
      <c r="K1189" s="4">
        <v>3.31</v>
      </c>
      <c r="L1189" s="4">
        <v>8.93</v>
      </c>
      <c r="M1189" s="4">
        <v>4.42</v>
      </c>
      <c r="N1189" s="4">
        <v>639</v>
      </c>
      <c r="O1189" s="4" t="s">
        <v>49</v>
      </c>
      <c r="P1189" s="5">
        <v>2223399861</v>
      </c>
    </row>
    <row r="1190" spans="1:16" x14ac:dyDescent="0.25">
      <c r="A1190" s="4">
        <v>2026</v>
      </c>
      <c r="B1190" s="4">
        <v>2</v>
      </c>
      <c r="C1190" s="12" t="s">
        <v>36</v>
      </c>
      <c r="D1190" s="4" t="s">
        <v>27</v>
      </c>
      <c r="E1190" s="4" t="s">
        <v>48</v>
      </c>
      <c r="F1190" s="4" t="s">
        <v>18</v>
      </c>
      <c r="G1190" s="5">
        <v>4746605</v>
      </c>
      <c r="H1190" s="5">
        <v>135200</v>
      </c>
      <c r="I1190" s="4">
        <v>31</v>
      </c>
      <c r="J1190" s="4">
        <v>1.59</v>
      </c>
      <c r="K1190" s="4">
        <v>3.47</v>
      </c>
      <c r="L1190" s="4">
        <v>4.18</v>
      </c>
      <c r="M1190" s="4">
        <v>5.6</v>
      </c>
      <c r="N1190" s="4">
        <v>427</v>
      </c>
      <c r="O1190" s="4" t="s">
        <v>49</v>
      </c>
      <c r="P1190" s="5">
        <v>2026800335</v>
      </c>
    </row>
    <row r="1191" spans="1:16" x14ac:dyDescent="0.25">
      <c r="A1191" s="4">
        <v>2025</v>
      </c>
      <c r="B1191" s="4">
        <v>7</v>
      </c>
      <c r="C1191" s="12" t="s">
        <v>34</v>
      </c>
      <c r="D1191" s="4" t="s">
        <v>24</v>
      </c>
      <c r="E1191" s="4" t="s">
        <v>48</v>
      </c>
      <c r="F1191" s="4" t="s">
        <v>25</v>
      </c>
      <c r="G1191" s="5">
        <v>4122364</v>
      </c>
      <c r="H1191" s="5">
        <v>474944</v>
      </c>
      <c r="I1191" s="4">
        <v>186</v>
      </c>
      <c r="J1191" s="4">
        <v>1.29</v>
      </c>
      <c r="K1191" s="4">
        <v>6.84</v>
      </c>
      <c r="L1191" s="4">
        <v>4.5</v>
      </c>
      <c r="M1191" s="4">
        <v>9.77</v>
      </c>
      <c r="N1191" s="4">
        <v>323</v>
      </c>
      <c r="O1191" s="4" t="s">
        <v>47</v>
      </c>
      <c r="P1191" s="5">
        <v>1331523572</v>
      </c>
    </row>
    <row r="1192" spans="1:16" x14ac:dyDescent="0.25">
      <c r="A1192" s="4">
        <v>2025</v>
      </c>
      <c r="B1192" s="4">
        <v>11</v>
      </c>
      <c r="C1192" s="12" t="s">
        <v>28</v>
      </c>
      <c r="D1192" s="4" t="s">
        <v>29</v>
      </c>
      <c r="E1192" s="4" t="s">
        <v>46</v>
      </c>
      <c r="F1192" s="4" t="s">
        <v>21</v>
      </c>
      <c r="G1192" s="5">
        <v>4668674</v>
      </c>
      <c r="H1192" s="5">
        <v>431453</v>
      </c>
      <c r="I1192" s="4">
        <v>149</v>
      </c>
      <c r="J1192" s="4">
        <v>1.53</v>
      </c>
      <c r="K1192" s="4">
        <v>3.57</v>
      </c>
      <c r="L1192" s="4">
        <v>6.36</v>
      </c>
      <c r="M1192" s="4">
        <v>4.38</v>
      </c>
      <c r="N1192" s="4">
        <v>751</v>
      </c>
      <c r="O1192" s="4" t="s">
        <v>49</v>
      </c>
      <c r="P1192" s="5">
        <v>3506174174</v>
      </c>
    </row>
    <row r="1193" spans="1:16" x14ac:dyDescent="0.25">
      <c r="A1193" s="4">
        <v>2026</v>
      </c>
      <c r="B1193" s="4">
        <v>1</v>
      </c>
      <c r="C1193" s="12" t="s">
        <v>30</v>
      </c>
      <c r="D1193" s="4" t="s">
        <v>13</v>
      </c>
      <c r="E1193" s="4" t="s">
        <v>50</v>
      </c>
      <c r="F1193" s="4" t="s">
        <v>21</v>
      </c>
      <c r="G1193" s="5">
        <v>3936159</v>
      </c>
      <c r="H1193" s="5">
        <v>338946</v>
      </c>
      <c r="I1193" s="4">
        <v>136</v>
      </c>
      <c r="J1193" s="4">
        <v>1.8</v>
      </c>
      <c r="K1193" s="4">
        <v>6.57</v>
      </c>
      <c r="L1193" s="4">
        <v>6.45</v>
      </c>
      <c r="M1193" s="4">
        <v>5.67</v>
      </c>
      <c r="N1193" s="4">
        <v>691</v>
      </c>
      <c r="O1193" s="4" t="s">
        <v>47</v>
      </c>
      <c r="P1193" s="5">
        <v>2719885869</v>
      </c>
    </row>
    <row r="1194" spans="1:16" x14ac:dyDescent="0.25">
      <c r="A1194" s="4">
        <v>2025</v>
      </c>
      <c r="B1194" s="4">
        <v>6</v>
      </c>
      <c r="C1194" s="12" t="s">
        <v>19</v>
      </c>
      <c r="D1194" s="4" t="s">
        <v>16</v>
      </c>
      <c r="E1194" s="4" t="s">
        <v>48</v>
      </c>
      <c r="F1194" s="4" t="s">
        <v>21</v>
      </c>
      <c r="G1194" s="5">
        <v>1517975</v>
      </c>
      <c r="H1194" s="5">
        <v>411210</v>
      </c>
      <c r="I1194" s="4">
        <v>160</v>
      </c>
      <c r="J1194" s="4">
        <v>1.53</v>
      </c>
      <c r="K1194" s="4">
        <v>4.84</v>
      </c>
      <c r="L1194" s="4">
        <v>4.8600000000000003</v>
      </c>
      <c r="M1194" s="4">
        <v>8.82</v>
      </c>
      <c r="N1194" s="4">
        <v>98</v>
      </c>
      <c r="O1194" s="4" t="s">
        <v>47</v>
      </c>
      <c r="P1194" s="5">
        <v>148761550</v>
      </c>
    </row>
    <row r="1195" spans="1:16" x14ac:dyDescent="0.25">
      <c r="A1195" s="4">
        <v>2025</v>
      </c>
      <c r="B1195" s="4">
        <v>11</v>
      </c>
      <c r="C1195" s="12" t="s">
        <v>30</v>
      </c>
      <c r="D1195" s="4" t="s">
        <v>16</v>
      </c>
      <c r="E1195" s="4" t="s">
        <v>48</v>
      </c>
      <c r="F1195" s="4" t="s">
        <v>18</v>
      </c>
      <c r="G1195" s="5">
        <v>3454919</v>
      </c>
      <c r="H1195" s="5">
        <v>426496</v>
      </c>
      <c r="I1195" s="4">
        <v>43</v>
      </c>
      <c r="J1195" s="4">
        <v>1.59</v>
      </c>
      <c r="K1195" s="4">
        <v>6.08</v>
      </c>
      <c r="L1195" s="4">
        <v>7.53</v>
      </c>
      <c r="M1195" s="4">
        <v>2.99</v>
      </c>
      <c r="N1195" s="4">
        <v>562</v>
      </c>
      <c r="O1195" s="4" t="s">
        <v>49</v>
      </c>
      <c r="P1195" s="5">
        <v>1941664478</v>
      </c>
    </row>
    <row r="1196" spans="1:16" x14ac:dyDescent="0.25">
      <c r="A1196" s="4">
        <v>2025</v>
      </c>
      <c r="B1196" s="4">
        <v>9</v>
      </c>
      <c r="C1196" s="12" t="s">
        <v>36</v>
      </c>
      <c r="D1196" s="4" t="s">
        <v>16</v>
      </c>
      <c r="E1196" s="4" t="s">
        <v>48</v>
      </c>
      <c r="F1196" s="4" t="s">
        <v>18</v>
      </c>
      <c r="G1196" s="5">
        <v>3385470</v>
      </c>
      <c r="H1196" s="5">
        <v>224930</v>
      </c>
      <c r="I1196" s="4">
        <v>195</v>
      </c>
      <c r="J1196" s="4">
        <v>1.43</v>
      </c>
      <c r="K1196" s="4">
        <v>6.05</v>
      </c>
      <c r="L1196" s="4">
        <v>7.27</v>
      </c>
      <c r="M1196" s="4">
        <v>9.77</v>
      </c>
      <c r="N1196" s="4">
        <v>181</v>
      </c>
      <c r="O1196" s="4" t="s">
        <v>47</v>
      </c>
      <c r="P1196" s="5">
        <v>612770070</v>
      </c>
    </row>
    <row r="1197" spans="1:16" x14ac:dyDescent="0.25">
      <c r="A1197" s="4">
        <v>2026</v>
      </c>
      <c r="B1197" s="4">
        <v>3</v>
      </c>
      <c r="C1197" s="12" t="s">
        <v>19</v>
      </c>
      <c r="D1197" s="4" t="s">
        <v>37</v>
      </c>
      <c r="E1197" s="4" t="s">
        <v>48</v>
      </c>
      <c r="F1197" s="4" t="s">
        <v>25</v>
      </c>
      <c r="G1197" s="5">
        <v>1483229</v>
      </c>
      <c r="H1197" s="5">
        <v>242325</v>
      </c>
      <c r="I1197" s="4">
        <v>44</v>
      </c>
      <c r="J1197" s="4">
        <v>1.04</v>
      </c>
      <c r="K1197" s="4">
        <v>3.92</v>
      </c>
      <c r="L1197" s="4">
        <v>5.42</v>
      </c>
      <c r="M1197" s="4">
        <v>2.65</v>
      </c>
      <c r="N1197" s="4">
        <v>129</v>
      </c>
      <c r="O1197" s="4" t="s">
        <v>47</v>
      </c>
      <c r="P1197" s="5">
        <v>191336541</v>
      </c>
    </row>
    <row r="1198" spans="1:16" x14ac:dyDescent="0.25">
      <c r="A1198" s="4">
        <v>2026</v>
      </c>
      <c r="B1198" s="4">
        <v>1</v>
      </c>
      <c r="C1198" s="12" t="s">
        <v>30</v>
      </c>
      <c r="D1198" s="4" t="s">
        <v>16</v>
      </c>
      <c r="E1198" s="4" t="s">
        <v>48</v>
      </c>
      <c r="F1198" s="4" t="s">
        <v>25</v>
      </c>
      <c r="G1198" s="5">
        <v>4930481</v>
      </c>
      <c r="H1198" s="5">
        <v>259191</v>
      </c>
      <c r="I1198" s="4">
        <v>67</v>
      </c>
      <c r="J1198" s="4">
        <v>1.65</v>
      </c>
      <c r="K1198" s="4">
        <v>4.8499999999999996</v>
      </c>
      <c r="L1198" s="4">
        <v>4.46</v>
      </c>
      <c r="M1198" s="4">
        <v>3.52</v>
      </c>
      <c r="N1198" s="4">
        <v>789</v>
      </c>
      <c r="O1198" s="4" t="s">
        <v>47</v>
      </c>
      <c r="P1198" s="5">
        <v>3890149509</v>
      </c>
    </row>
    <row r="1199" spans="1:16" x14ac:dyDescent="0.25">
      <c r="A1199" s="4">
        <v>2026</v>
      </c>
      <c r="B1199" s="4">
        <v>1</v>
      </c>
      <c r="C1199" s="12" t="s">
        <v>36</v>
      </c>
      <c r="D1199" s="4" t="s">
        <v>29</v>
      </c>
      <c r="E1199" s="4" t="s">
        <v>46</v>
      </c>
      <c r="F1199" s="4" t="s">
        <v>21</v>
      </c>
      <c r="G1199" s="5">
        <v>1884355</v>
      </c>
      <c r="H1199" s="5">
        <v>490067</v>
      </c>
      <c r="I1199" s="4">
        <v>102</v>
      </c>
      <c r="J1199" s="4">
        <v>1.51</v>
      </c>
      <c r="K1199" s="4">
        <v>7.13</v>
      </c>
      <c r="L1199" s="4">
        <v>9.89</v>
      </c>
      <c r="M1199" s="4">
        <v>4.71</v>
      </c>
      <c r="N1199" s="4">
        <v>151</v>
      </c>
      <c r="O1199" s="4" t="s">
        <v>47</v>
      </c>
      <c r="P1199" s="5">
        <v>284537605</v>
      </c>
    </row>
    <row r="1200" spans="1:16" x14ac:dyDescent="0.25">
      <c r="A1200" s="4">
        <v>2025</v>
      </c>
      <c r="B1200" s="4">
        <v>12</v>
      </c>
      <c r="C1200" s="12" t="s">
        <v>34</v>
      </c>
      <c r="D1200" s="4" t="s">
        <v>37</v>
      </c>
      <c r="E1200" s="4" t="s">
        <v>48</v>
      </c>
      <c r="F1200" s="4" t="s">
        <v>21</v>
      </c>
      <c r="G1200" s="5">
        <v>4394545</v>
      </c>
      <c r="H1200" s="5">
        <v>121199</v>
      </c>
      <c r="I1200" s="4">
        <v>122</v>
      </c>
      <c r="J1200" s="4">
        <v>1.54</v>
      </c>
      <c r="K1200" s="4">
        <v>3.23</v>
      </c>
      <c r="L1200" s="4">
        <v>6.78</v>
      </c>
      <c r="M1200" s="4">
        <v>7.16</v>
      </c>
      <c r="N1200" s="4">
        <v>100</v>
      </c>
      <c r="O1200" s="4" t="s">
        <v>49</v>
      </c>
      <c r="P1200" s="5">
        <v>439454500</v>
      </c>
    </row>
    <row r="1201" spans="1:16" x14ac:dyDescent="0.25">
      <c r="A1201" s="4">
        <v>2026</v>
      </c>
      <c r="B1201" s="4">
        <v>2</v>
      </c>
      <c r="C1201" s="12" t="s">
        <v>34</v>
      </c>
      <c r="D1201" s="4" t="s">
        <v>27</v>
      </c>
      <c r="E1201" s="4" t="s">
        <v>48</v>
      </c>
      <c r="F1201" s="4" t="s">
        <v>25</v>
      </c>
      <c r="G1201" s="5">
        <v>1521354</v>
      </c>
      <c r="H1201" s="5">
        <v>150601</v>
      </c>
      <c r="I1201" s="4">
        <v>33</v>
      </c>
      <c r="J1201" s="4">
        <v>1.41</v>
      </c>
      <c r="K1201" s="4">
        <v>7.83</v>
      </c>
      <c r="L1201" s="4">
        <v>9.82</v>
      </c>
      <c r="M1201" s="4">
        <v>2.34</v>
      </c>
      <c r="N1201" s="4">
        <v>563</v>
      </c>
      <c r="O1201" s="4" t="s">
        <v>47</v>
      </c>
      <c r="P1201" s="5">
        <v>856522302</v>
      </c>
    </row>
    <row r="1202" spans="1:16" x14ac:dyDescent="0.25">
      <c r="A1202" s="4">
        <v>2025</v>
      </c>
      <c r="B1202" s="4">
        <v>4</v>
      </c>
      <c r="C1202" s="12" t="s">
        <v>28</v>
      </c>
      <c r="D1202" s="4" t="s">
        <v>32</v>
      </c>
      <c r="E1202" s="4" t="s">
        <v>46</v>
      </c>
      <c r="F1202" s="4" t="s">
        <v>15</v>
      </c>
      <c r="G1202" s="5">
        <v>1786502</v>
      </c>
      <c r="H1202" s="5">
        <v>287093</v>
      </c>
      <c r="I1202" s="4">
        <v>143</v>
      </c>
      <c r="J1202" s="4">
        <v>1.73</v>
      </c>
      <c r="K1202" s="4">
        <v>5.85</v>
      </c>
      <c r="L1202" s="4">
        <v>8.73</v>
      </c>
      <c r="M1202" s="4">
        <v>8.4700000000000006</v>
      </c>
      <c r="N1202" s="4">
        <v>562</v>
      </c>
      <c r="O1202" s="4" t="s">
        <v>47</v>
      </c>
      <c r="P1202" s="5">
        <v>1004014124</v>
      </c>
    </row>
    <row r="1203" spans="1:16" x14ac:dyDescent="0.25">
      <c r="A1203" s="4">
        <v>2026</v>
      </c>
      <c r="B1203" s="4">
        <v>1</v>
      </c>
      <c r="C1203" s="12" t="s">
        <v>34</v>
      </c>
      <c r="D1203" s="4" t="s">
        <v>32</v>
      </c>
      <c r="E1203" s="4" t="s">
        <v>46</v>
      </c>
      <c r="F1203" s="4" t="s">
        <v>21</v>
      </c>
      <c r="G1203" s="5">
        <v>2881469</v>
      </c>
      <c r="H1203" s="5">
        <v>337919</v>
      </c>
      <c r="I1203" s="4">
        <v>188</v>
      </c>
      <c r="J1203" s="4">
        <v>1.1299999999999999</v>
      </c>
      <c r="K1203" s="4">
        <v>5.7</v>
      </c>
      <c r="L1203" s="4">
        <v>9.1999999999999993</v>
      </c>
      <c r="M1203" s="4">
        <v>6.67</v>
      </c>
      <c r="N1203" s="4">
        <v>415</v>
      </c>
      <c r="O1203" s="4" t="s">
        <v>49</v>
      </c>
      <c r="P1203" s="5">
        <v>1195809635</v>
      </c>
    </row>
    <row r="1204" spans="1:16" x14ac:dyDescent="0.25">
      <c r="A1204" s="4">
        <v>2025</v>
      </c>
      <c r="B1204" s="4">
        <v>11</v>
      </c>
      <c r="C1204" s="12" t="s">
        <v>34</v>
      </c>
      <c r="D1204" s="4" t="s">
        <v>37</v>
      </c>
      <c r="E1204" s="4" t="s">
        <v>48</v>
      </c>
      <c r="F1204" s="4" t="s">
        <v>21</v>
      </c>
      <c r="G1204" s="5">
        <v>2181131</v>
      </c>
      <c r="H1204" s="5">
        <v>485070</v>
      </c>
      <c r="I1204" s="4">
        <v>125</v>
      </c>
      <c r="J1204" s="4">
        <v>1.95</v>
      </c>
      <c r="K1204" s="4">
        <v>4.55</v>
      </c>
      <c r="L1204" s="4">
        <v>6.4</v>
      </c>
      <c r="M1204" s="4">
        <v>1.27</v>
      </c>
      <c r="N1204" s="4">
        <v>565</v>
      </c>
      <c r="O1204" s="4" t="s">
        <v>47</v>
      </c>
      <c r="P1204" s="5">
        <v>1232339015</v>
      </c>
    </row>
    <row r="1205" spans="1:16" x14ac:dyDescent="0.25">
      <c r="A1205" s="4">
        <v>2026</v>
      </c>
      <c r="B1205" s="4">
        <v>3</v>
      </c>
      <c r="C1205" s="12" t="s">
        <v>28</v>
      </c>
      <c r="D1205" s="4" t="s">
        <v>31</v>
      </c>
      <c r="E1205" s="4" t="s">
        <v>48</v>
      </c>
      <c r="F1205" s="4" t="s">
        <v>21</v>
      </c>
      <c r="G1205" s="5">
        <v>4382789</v>
      </c>
      <c r="H1205" s="5">
        <v>350270</v>
      </c>
      <c r="I1205" s="4">
        <v>131</v>
      </c>
      <c r="J1205" s="4">
        <v>1.82</v>
      </c>
      <c r="K1205" s="4">
        <v>4.03</v>
      </c>
      <c r="L1205" s="4">
        <v>7.93</v>
      </c>
      <c r="M1205" s="4">
        <v>5.8</v>
      </c>
      <c r="N1205" s="4">
        <v>526</v>
      </c>
      <c r="O1205" s="4" t="s">
        <v>47</v>
      </c>
      <c r="P1205" s="5">
        <v>2305347014</v>
      </c>
    </row>
    <row r="1206" spans="1:16" x14ac:dyDescent="0.25">
      <c r="A1206" s="4">
        <v>2026</v>
      </c>
      <c r="B1206" s="4">
        <v>3</v>
      </c>
      <c r="C1206" s="12" t="s">
        <v>30</v>
      </c>
      <c r="D1206" s="4" t="s">
        <v>13</v>
      </c>
      <c r="E1206" s="4" t="s">
        <v>50</v>
      </c>
      <c r="F1206" s="4" t="s">
        <v>25</v>
      </c>
      <c r="G1206" s="5">
        <v>3424981</v>
      </c>
      <c r="H1206" s="5">
        <v>484877</v>
      </c>
      <c r="I1206" s="4">
        <v>55</v>
      </c>
      <c r="J1206" s="4">
        <v>1.56</v>
      </c>
      <c r="K1206" s="4">
        <v>5.49</v>
      </c>
      <c r="L1206" s="4">
        <v>9.75</v>
      </c>
      <c r="M1206" s="4">
        <v>2.99</v>
      </c>
      <c r="N1206" s="4">
        <v>712</v>
      </c>
      <c r="O1206" s="4" t="s">
        <v>47</v>
      </c>
      <c r="P1206" s="5">
        <v>2438586472</v>
      </c>
    </row>
    <row r="1207" spans="1:16" x14ac:dyDescent="0.25">
      <c r="A1207" s="4">
        <v>2026</v>
      </c>
      <c r="B1207" s="4">
        <v>3</v>
      </c>
      <c r="C1207" s="12" t="s">
        <v>34</v>
      </c>
      <c r="D1207" s="4" t="s">
        <v>22</v>
      </c>
      <c r="E1207" s="4" t="s">
        <v>48</v>
      </c>
      <c r="F1207" s="4" t="s">
        <v>18</v>
      </c>
      <c r="G1207" s="5">
        <v>2913852</v>
      </c>
      <c r="H1207" s="5">
        <v>150245</v>
      </c>
      <c r="I1207" s="4">
        <v>67</v>
      </c>
      <c r="J1207" s="4">
        <v>1.26</v>
      </c>
      <c r="K1207" s="4">
        <v>4.33</v>
      </c>
      <c r="L1207" s="4">
        <v>8.75</v>
      </c>
      <c r="M1207" s="4">
        <v>6.61</v>
      </c>
      <c r="N1207" s="4">
        <v>478</v>
      </c>
      <c r="O1207" s="4" t="s">
        <v>47</v>
      </c>
      <c r="P1207" s="5">
        <v>1392821256</v>
      </c>
    </row>
    <row r="1208" spans="1:16" x14ac:dyDescent="0.25">
      <c r="A1208" s="4">
        <v>2025</v>
      </c>
      <c r="B1208" s="4">
        <v>1</v>
      </c>
      <c r="C1208" s="12" t="s">
        <v>30</v>
      </c>
      <c r="D1208" s="4" t="s">
        <v>13</v>
      </c>
      <c r="E1208" s="4" t="s">
        <v>50</v>
      </c>
      <c r="F1208" s="4" t="s">
        <v>21</v>
      </c>
      <c r="G1208" s="5">
        <v>4740147</v>
      </c>
      <c r="H1208" s="5">
        <v>306142</v>
      </c>
      <c r="I1208" s="4">
        <v>156</v>
      </c>
      <c r="J1208" s="4">
        <v>1.95</v>
      </c>
      <c r="K1208" s="4">
        <v>7.55</v>
      </c>
      <c r="L1208" s="4">
        <v>7.51</v>
      </c>
      <c r="M1208" s="4">
        <v>3.73</v>
      </c>
      <c r="N1208" s="4">
        <v>147</v>
      </c>
      <c r="O1208" s="4" t="s">
        <v>47</v>
      </c>
      <c r="P1208" s="5">
        <v>696801609</v>
      </c>
    </row>
    <row r="1209" spans="1:16" x14ac:dyDescent="0.25">
      <c r="A1209" s="4">
        <v>2026</v>
      </c>
      <c r="B1209" s="4">
        <v>3</v>
      </c>
      <c r="C1209" s="12" t="s">
        <v>30</v>
      </c>
      <c r="D1209" s="4" t="s">
        <v>32</v>
      </c>
      <c r="E1209" s="4" t="s">
        <v>46</v>
      </c>
      <c r="F1209" s="4" t="s">
        <v>21</v>
      </c>
      <c r="G1209" s="5">
        <v>1903197</v>
      </c>
      <c r="H1209" s="5">
        <v>149522</v>
      </c>
      <c r="I1209" s="4">
        <v>191</v>
      </c>
      <c r="J1209" s="4">
        <v>1.46</v>
      </c>
      <c r="K1209" s="4">
        <v>7.58</v>
      </c>
      <c r="L1209" s="4">
        <v>8.01</v>
      </c>
      <c r="M1209" s="4">
        <v>1.65</v>
      </c>
      <c r="N1209" s="4">
        <v>600</v>
      </c>
      <c r="O1209" s="4" t="s">
        <v>47</v>
      </c>
      <c r="P1209" s="5">
        <v>1141918200</v>
      </c>
    </row>
    <row r="1210" spans="1:16" x14ac:dyDescent="0.25">
      <c r="A1210" s="4">
        <v>2025</v>
      </c>
      <c r="B1210" s="4">
        <v>11</v>
      </c>
      <c r="C1210" s="12" t="s">
        <v>28</v>
      </c>
      <c r="D1210" s="4" t="s">
        <v>29</v>
      </c>
      <c r="E1210" s="4" t="s">
        <v>46</v>
      </c>
      <c r="F1210" s="4" t="s">
        <v>21</v>
      </c>
      <c r="G1210" s="5">
        <v>1696129</v>
      </c>
      <c r="H1210" s="5">
        <v>355359</v>
      </c>
      <c r="I1210" s="4">
        <v>76</v>
      </c>
      <c r="J1210" s="4">
        <v>1.59</v>
      </c>
      <c r="K1210" s="4">
        <v>6.67</v>
      </c>
      <c r="L1210" s="4">
        <v>9.1300000000000008</v>
      </c>
      <c r="M1210" s="4">
        <v>5.88</v>
      </c>
      <c r="N1210" s="4">
        <v>412</v>
      </c>
      <c r="O1210" s="4" t="s">
        <v>47</v>
      </c>
      <c r="P1210" s="5">
        <v>698805148</v>
      </c>
    </row>
    <row r="1211" spans="1:16" x14ac:dyDescent="0.25">
      <c r="A1211" s="4">
        <v>2026</v>
      </c>
      <c r="B1211" s="4">
        <v>1</v>
      </c>
      <c r="C1211" s="12" t="s">
        <v>30</v>
      </c>
      <c r="D1211" s="4" t="s">
        <v>20</v>
      </c>
      <c r="E1211" s="4" t="s">
        <v>48</v>
      </c>
      <c r="F1211" s="4" t="s">
        <v>25</v>
      </c>
      <c r="G1211" s="5">
        <v>1923085</v>
      </c>
      <c r="H1211" s="5">
        <v>206352</v>
      </c>
      <c r="I1211" s="4">
        <v>164</v>
      </c>
      <c r="J1211" s="4">
        <v>1.8</v>
      </c>
      <c r="K1211" s="4">
        <v>3.27</v>
      </c>
      <c r="L1211" s="4">
        <v>8.34</v>
      </c>
      <c r="M1211" s="4">
        <v>5.35</v>
      </c>
      <c r="N1211" s="4">
        <v>381</v>
      </c>
      <c r="O1211" s="4" t="s">
        <v>49</v>
      </c>
      <c r="P1211" s="5">
        <v>732695385</v>
      </c>
    </row>
    <row r="1212" spans="1:16" x14ac:dyDescent="0.25">
      <c r="A1212" s="4">
        <v>2025</v>
      </c>
      <c r="B1212" s="4">
        <v>10</v>
      </c>
      <c r="C1212" s="12" t="s">
        <v>30</v>
      </c>
      <c r="D1212" s="4" t="s">
        <v>29</v>
      </c>
      <c r="E1212" s="4" t="s">
        <v>46</v>
      </c>
      <c r="F1212" s="4" t="s">
        <v>25</v>
      </c>
      <c r="G1212" s="5">
        <v>4026791</v>
      </c>
      <c r="H1212" s="5">
        <v>152026</v>
      </c>
      <c r="I1212" s="4">
        <v>131</v>
      </c>
      <c r="J1212" s="4">
        <v>1.28</v>
      </c>
      <c r="K1212" s="4">
        <v>5.91</v>
      </c>
      <c r="L1212" s="4">
        <v>6.73</v>
      </c>
      <c r="M1212" s="4">
        <v>5.03</v>
      </c>
      <c r="N1212" s="4">
        <v>599</v>
      </c>
      <c r="O1212" s="4" t="s">
        <v>49</v>
      </c>
      <c r="P1212" s="5">
        <v>2412047809</v>
      </c>
    </row>
    <row r="1213" spans="1:16" x14ac:dyDescent="0.25">
      <c r="A1213" s="4">
        <v>2026</v>
      </c>
      <c r="B1213" s="4">
        <v>2</v>
      </c>
      <c r="C1213" s="12" t="s">
        <v>28</v>
      </c>
      <c r="D1213" s="4" t="s">
        <v>29</v>
      </c>
      <c r="E1213" s="4" t="s">
        <v>46</v>
      </c>
      <c r="F1213" s="4" t="s">
        <v>18</v>
      </c>
      <c r="G1213" s="5">
        <v>1991706</v>
      </c>
      <c r="H1213" s="5">
        <v>199086</v>
      </c>
      <c r="I1213" s="4">
        <v>83</v>
      </c>
      <c r="J1213" s="4">
        <v>1.59</v>
      </c>
      <c r="K1213" s="4">
        <v>7.51</v>
      </c>
      <c r="L1213" s="4">
        <v>4.3099999999999996</v>
      </c>
      <c r="M1213" s="4">
        <v>9.19</v>
      </c>
      <c r="N1213" s="4">
        <v>730</v>
      </c>
      <c r="O1213" s="4" t="s">
        <v>49</v>
      </c>
      <c r="P1213" s="5">
        <v>1453945380</v>
      </c>
    </row>
    <row r="1214" spans="1:16" x14ac:dyDescent="0.25">
      <c r="A1214" s="4">
        <v>2025</v>
      </c>
      <c r="B1214" s="4">
        <v>5</v>
      </c>
      <c r="C1214" s="12" t="s">
        <v>28</v>
      </c>
      <c r="D1214" s="4" t="s">
        <v>29</v>
      </c>
      <c r="E1214" s="4" t="s">
        <v>46</v>
      </c>
      <c r="F1214" s="4" t="s">
        <v>21</v>
      </c>
      <c r="G1214" s="5">
        <v>4889570</v>
      </c>
      <c r="H1214" s="5">
        <v>227855</v>
      </c>
      <c r="I1214" s="4">
        <v>34</v>
      </c>
      <c r="J1214" s="4">
        <v>1.98</v>
      </c>
      <c r="K1214" s="4">
        <v>5.1100000000000003</v>
      </c>
      <c r="L1214" s="4">
        <v>5.96</v>
      </c>
      <c r="M1214" s="4">
        <v>8.4</v>
      </c>
      <c r="N1214" s="4">
        <v>161</v>
      </c>
      <c r="O1214" s="4" t="s">
        <v>49</v>
      </c>
      <c r="P1214" s="5">
        <v>787220770</v>
      </c>
    </row>
    <row r="1215" spans="1:16" x14ac:dyDescent="0.25">
      <c r="A1215" s="4">
        <v>2025</v>
      </c>
      <c r="B1215" s="4">
        <v>10</v>
      </c>
      <c r="C1215" s="12" t="s">
        <v>36</v>
      </c>
      <c r="D1215" s="4" t="s">
        <v>24</v>
      </c>
      <c r="E1215" s="4" t="s">
        <v>48</v>
      </c>
      <c r="F1215" s="4" t="s">
        <v>18</v>
      </c>
      <c r="G1215" s="5">
        <v>3087069</v>
      </c>
      <c r="H1215" s="5">
        <v>372130</v>
      </c>
      <c r="I1215" s="4">
        <v>86</v>
      </c>
      <c r="J1215" s="4">
        <v>1.91</v>
      </c>
      <c r="K1215" s="4">
        <v>5.52</v>
      </c>
      <c r="L1215" s="4">
        <v>7.73</v>
      </c>
      <c r="M1215" s="4">
        <v>8.5</v>
      </c>
      <c r="N1215" s="4">
        <v>294</v>
      </c>
      <c r="O1215" s="4" t="s">
        <v>47</v>
      </c>
      <c r="P1215" s="5">
        <v>907598286</v>
      </c>
    </row>
    <row r="1216" spans="1:16" x14ac:dyDescent="0.25">
      <c r="A1216" s="4">
        <v>2026</v>
      </c>
      <c r="B1216" s="4">
        <v>1</v>
      </c>
      <c r="C1216" s="12" t="s">
        <v>19</v>
      </c>
      <c r="D1216" s="4" t="s">
        <v>22</v>
      </c>
      <c r="E1216" s="4" t="s">
        <v>48</v>
      </c>
      <c r="F1216" s="4" t="s">
        <v>21</v>
      </c>
      <c r="G1216" s="5">
        <v>2993233</v>
      </c>
      <c r="H1216" s="5">
        <v>340972</v>
      </c>
      <c r="I1216" s="4">
        <v>54</v>
      </c>
      <c r="J1216" s="4">
        <v>1.51</v>
      </c>
      <c r="K1216" s="4">
        <v>5.39</v>
      </c>
      <c r="L1216" s="4">
        <v>5.46</v>
      </c>
      <c r="M1216" s="4">
        <v>7.5</v>
      </c>
      <c r="N1216" s="4">
        <v>74</v>
      </c>
      <c r="O1216" s="4" t="s">
        <v>49</v>
      </c>
      <c r="P1216" s="5">
        <v>221499242</v>
      </c>
    </row>
    <row r="1217" spans="1:16" x14ac:dyDescent="0.25">
      <c r="A1217" s="4">
        <v>2026</v>
      </c>
      <c r="B1217" s="4">
        <v>3</v>
      </c>
      <c r="C1217" s="12" t="s">
        <v>34</v>
      </c>
      <c r="D1217" s="4" t="s">
        <v>31</v>
      </c>
      <c r="E1217" s="4" t="s">
        <v>48</v>
      </c>
      <c r="F1217" s="4" t="s">
        <v>15</v>
      </c>
      <c r="G1217" s="5">
        <v>4730351</v>
      </c>
      <c r="H1217" s="5">
        <v>476606</v>
      </c>
      <c r="I1217" s="4">
        <v>48</v>
      </c>
      <c r="J1217" s="4">
        <v>1.5</v>
      </c>
      <c r="K1217" s="4">
        <v>7.4</v>
      </c>
      <c r="L1217" s="4">
        <v>5.65</v>
      </c>
      <c r="M1217" s="4">
        <v>5.5</v>
      </c>
      <c r="N1217" s="4">
        <v>568</v>
      </c>
      <c r="O1217" s="4" t="s">
        <v>47</v>
      </c>
      <c r="P1217" s="5">
        <v>2686839368</v>
      </c>
    </row>
    <row r="1218" spans="1:16" x14ac:dyDescent="0.25">
      <c r="A1218" s="4">
        <v>2025</v>
      </c>
      <c r="B1218" s="4">
        <v>3</v>
      </c>
      <c r="C1218" s="12" t="s">
        <v>19</v>
      </c>
      <c r="D1218" s="4" t="s">
        <v>29</v>
      </c>
      <c r="E1218" s="4" t="s">
        <v>46</v>
      </c>
      <c r="F1218" s="4" t="s">
        <v>18</v>
      </c>
      <c r="G1218" s="5">
        <v>4267689</v>
      </c>
      <c r="H1218" s="5">
        <v>470692</v>
      </c>
      <c r="I1218" s="4">
        <v>152</v>
      </c>
      <c r="J1218" s="4">
        <v>1.73</v>
      </c>
      <c r="K1218" s="4">
        <v>3.49</v>
      </c>
      <c r="L1218" s="4">
        <v>6.2</v>
      </c>
      <c r="M1218" s="4">
        <v>9.0299999999999994</v>
      </c>
      <c r="N1218" s="4">
        <v>200</v>
      </c>
      <c r="O1218" s="4" t="s">
        <v>47</v>
      </c>
      <c r="P1218" s="5">
        <v>853537800</v>
      </c>
    </row>
    <row r="1219" spans="1:16" x14ac:dyDescent="0.25">
      <c r="A1219" s="4">
        <v>2025</v>
      </c>
      <c r="B1219" s="4">
        <v>11</v>
      </c>
      <c r="C1219" s="12" t="s">
        <v>34</v>
      </c>
      <c r="D1219" s="4" t="s">
        <v>31</v>
      </c>
      <c r="E1219" s="4" t="s">
        <v>48</v>
      </c>
      <c r="F1219" s="4" t="s">
        <v>25</v>
      </c>
      <c r="G1219" s="5">
        <v>2593604</v>
      </c>
      <c r="H1219" s="5">
        <v>496323</v>
      </c>
      <c r="I1219" s="4">
        <v>66</v>
      </c>
      <c r="J1219" s="4">
        <v>1.33</v>
      </c>
      <c r="K1219" s="4">
        <v>3.69</v>
      </c>
      <c r="L1219" s="4">
        <v>7.75</v>
      </c>
      <c r="M1219" s="4">
        <v>7.12</v>
      </c>
      <c r="N1219" s="4">
        <v>697</v>
      </c>
      <c r="O1219" s="4" t="s">
        <v>47</v>
      </c>
      <c r="P1219" s="5">
        <v>1807741988</v>
      </c>
    </row>
    <row r="1220" spans="1:16" x14ac:dyDescent="0.25">
      <c r="A1220" s="4">
        <v>2026</v>
      </c>
      <c r="B1220" s="4">
        <v>3</v>
      </c>
      <c r="C1220" s="12" t="s">
        <v>34</v>
      </c>
      <c r="D1220" s="4" t="s">
        <v>31</v>
      </c>
      <c r="E1220" s="4" t="s">
        <v>48</v>
      </c>
      <c r="F1220" s="4" t="s">
        <v>25</v>
      </c>
      <c r="G1220" s="5">
        <v>2083582</v>
      </c>
      <c r="H1220" s="5">
        <v>367455</v>
      </c>
      <c r="I1220" s="4">
        <v>143</v>
      </c>
      <c r="J1220" s="4">
        <v>1.97</v>
      </c>
      <c r="K1220" s="4">
        <v>5.25</v>
      </c>
      <c r="L1220" s="4">
        <v>5.36</v>
      </c>
      <c r="M1220" s="4">
        <v>3.62</v>
      </c>
      <c r="N1220" s="4">
        <v>418</v>
      </c>
      <c r="O1220" s="4" t="s">
        <v>47</v>
      </c>
      <c r="P1220" s="5">
        <v>870937276</v>
      </c>
    </row>
    <row r="1221" spans="1:16" x14ac:dyDescent="0.25">
      <c r="A1221" s="4">
        <v>2025</v>
      </c>
      <c r="B1221" s="4">
        <v>6</v>
      </c>
      <c r="C1221" s="12" t="s">
        <v>36</v>
      </c>
      <c r="D1221" s="4" t="s">
        <v>24</v>
      </c>
      <c r="E1221" s="4" t="s">
        <v>48</v>
      </c>
      <c r="F1221" s="4" t="s">
        <v>18</v>
      </c>
      <c r="G1221" s="5">
        <v>2210634</v>
      </c>
      <c r="H1221" s="5">
        <v>128719</v>
      </c>
      <c r="I1221" s="4">
        <v>83</v>
      </c>
      <c r="J1221" s="4">
        <v>1.76</v>
      </c>
      <c r="K1221" s="4">
        <v>5.36</v>
      </c>
      <c r="L1221" s="4">
        <v>6.94</v>
      </c>
      <c r="M1221" s="4">
        <v>1.1499999999999999</v>
      </c>
      <c r="N1221" s="4">
        <v>697</v>
      </c>
      <c r="O1221" s="4" t="s">
        <v>47</v>
      </c>
      <c r="P1221" s="5">
        <v>1540811898</v>
      </c>
    </row>
    <row r="1222" spans="1:16" x14ac:dyDescent="0.25">
      <c r="C1222" s="12"/>
      <c r="G1222" s="5"/>
      <c r="P1222" s="5"/>
    </row>
    <row r="1223" spans="1:16" x14ac:dyDescent="0.25">
      <c r="C1223" s="12"/>
      <c r="G1223" s="5"/>
      <c r="P1223" s="5"/>
    </row>
    <row r="1224" spans="1:16" x14ac:dyDescent="0.25">
      <c r="C1224" s="12"/>
      <c r="G1224" s="5"/>
      <c r="P1224" s="5"/>
    </row>
    <row r="1225" spans="1:16" x14ac:dyDescent="0.25">
      <c r="C1225" s="12"/>
      <c r="G1225" s="5"/>
      <c r="P1225" s="5"/>
    </row>
    <row r="1226" spans="1:16" x14ac:dyDescent="0.25">
      <c r="C1226" s="12"/>
      <c r="G1226" s="5"/>
      <c r="P1226" s="5"/>
    </row>
    <row r="1227" spans="1:16" x14ac:dyDescent="0.25">
      <c r="C1227" s="12"/>
      <c r="G1227" s="5"/>
      <c r="P1227" s="5"/>
    </row>
    <row r="1228" spans="1:16" x14ac:dyDescent="0.25">
      <c r="C1228" s="12"/>
      <c r="G1228" s="5"/>
      <c r="P1228" s="5"/>
    </row>
    <row r="1229" spans="1:16" x14ac:dyDescent="0.25">
      <c r="C1229" s="12"/>
      <c r="G1229" s="5"/>
      <c r="P1229" s="5"/>
    </row>
    <row r="1230" spans="1:16" x14ac:dyDescent="0.25">
      <c r="C1230" s="12"/>
      <c r="G1230" s="5"/>
      <c r="P1230" s="5"/>
    </row>
    <row r="1231" spans="1:16" x14ac:dyDescent="0.25">
      <c r="C1231" s="12"/>
      <c r="G1231" s="5"/>
      <c r="P1231" s="5"/>
    </row>
    <row r="1232" spans="1:16" x14ac:dyDescent="0.25">
      <c r="C1232" s="12"/>
      <c r="G1232" s="5"/>
      <c r="P1232" s="5"/>
    </row>
    <row r="1233" spans="3:16" x14ac:dyDescent="0.25">
      <c r="C1233" s="12"/>
      <c r="G1233" s="5"/>
      <c r="P1233" s="5"/>
    </row>
    <row r="1234" spans="3:16" x14ac:dyDescent="0.25">
      <c r="C1234" s="12"/>
      <c r="G1234" s="5"/>
      <c r="P1234" s="5"/>
    </row>
    <row r="1235" spans="3:16" x14ac:dyDescent="0.25">
      <c r="C1235" s="12"/>
      <c r="G1235" s="5"/>
      <c r="P1235" s="5"/>
    </row>
    <row r="1236" spans="3:16" x14ac:dyDescent="0.25">
      <c r="C1236" s="12"/>
      <c r="G1236" s="5"/>
      <c r="P1236" s="5"/>
    </row>
    <row r="1237" spans="3:16" x14ac:dyDescent="0.25">
      <c r="C1237" s="12"/>
      <c r="G1237" s="5"/>
      <c r="P1237" s="5"/>
    </row>
    <row r="1238" spans="3:16" x14ac:dyDescent="0.25">
      <c r="C1238" s="12"/>
      <c r="G1238" s="5"/>
      <c r="P1238" s="5"/>
    </row>
    <row r="1239" spans="3:16" x14ac:dyDescent="0.25">
      <c r="C1239" s="12"/>
      <c r="G1239" s="5"/>
      <c r="P1239" s="5"/>
    </row>
    <row r="1240" spans="3:16" x14ac:dyDescent="0.25">
      <c r="C1240" s="12"/>
      <c r="G1240" s="5"/>
      <c r="P1240" s="5"/>
    </row>
    <row r="1241" spans="3:16" x14ac:dyDescent="0.25">
      <c r="C1241" s="12"/>
      <c r="G1241" s="5"/>
      <c r="P1241" s="5"/>
    </row>
    <row r="1242" spans="3:16" x14ac:dyDescent="0.25">
      <c r="C1242" s="12"/>
      <c r="G1242" s="5"/>
      <c r="P1242" s="5"/>
    </row>
    <row r="1243" spans="3:16" x14ac:dyDescent="0.25">
      <c r="C1243" s="12"/>
      <c r="G1243" s="5"/>
      <c r="P1243" s="5"/>
    </row>
    <row r="1244" spans="3:16" x14ac:dyDescent="0.25">
      <c r="C1244" s="12"/>
      <c r="G1244" s="5"/>
      <c r="P1244" s="5"/>
    </row>
    <row r="1245" spans="3:16" x14ac:dyDescent="0.25">
      <c r="C1245" s="12"/>
      <c r="G1245" s="5"/>
      <c r="P1245" s="5"/>
    </row>
    <row r="1246" spans="3:16" x14ac:dyDescent="0.25">
      <c r="C1246" s="12"/>
      <c r="G1246" s="5"/>
      <c r="P1246" s="5"/>
    </row>
    <row r="1247" spans="3:16" x14ac:dyDescent="0.25">
      <c r="C1247" s="12"/>
      <c r="G1247" s="5"/>
      <c r="P1247" s="5"/>
    </row>
    <row r="1248" spans="3:16" x14ac:dyDescent="0.25">
      <c r="C1248" s="12"/>
      <c r="G1248" s="5"/>
      <c r="P1248" s="5"/>
    </row>
    <row r="1249" spans="3:16" x14ac:dyDescent="0.25">
      <c r="C1249" s="12"/>
      <c r="G1249" s="5"/>
      <c r="P1249" s="5"/>
    </row>
    <row r="1250" spans="3:16" x14ac:dyDescent="0.25">
      <c r="C1250" s="12"/>
      <c r="G1250" s="5"/>
      <c r="P1250" s="5"/>
    </row>
    <row r="1251" spans="3:16" x14ac:dyDescent="0.25">
      <c r="C1251" s="12"/>
      <c r="G1251" s="5"/>
      <c r="P1251" s="5"/>
    </row>
    <row r="1252" spans="3:16" x14ac:dyDescent="0.25">
      <c r="C1252" s="12"/>
      <c r="G1252" s="5"/>
      <c r="P1252" s="5"/>
    </row>
    <row r="1253" spans="3:16" x14ac:dyDescent="0.25">
      <c r="C1253" s="12"/>
      <c r="G1253" s="5"/>
      <c r="P1253" s="5"/>
    </row>
    <row r="1254" spans="3:16" x14ac:dyDescent="0.25">
      <c r="C1254" s="12"/>
      <c r="G1254" s="5"/>
      <c r="P1254" s="5"/>
    </row>
    <row r="1255" spans="3:16" x14ac:dyDescent="0.25">
      <c r="C1255" s="12"/>
      <c r="G1255" s="5"/>
      <c r="P1255" s="5"/>
    </row>
    <row r="1256" spans="3:16" x14ac:dyDescent="0.25">
      <c r="C1256" s="12"/>
      <c r="G1256" s="5"/>
      <c r="P1256" s="5"/>
    </row>
    <row r="1257" spans="3:16" x14ac:dyDescent="0.25">
      <c r="C1257" s="12"/>
      <c r="G1257" s="5"/>
      <c r="P1257" s="5"/>
    </row>
    <row r="1258" spans="3:16" x14ac:dyDescent="0.25">
      <c r="C1258" s="12"/>
      <c r="G1258" s="5"/>
      <c r="P1258" s="5"/>
    </row>
    <row r="1259" spans="3:16" x14ac:dyDescent="0.25">
      <c r="C1259" s="12"/>
      <c r="G1259" s="5"/>
      <c r="P1259" s="5"/>
    </row>
    <row r="1260" spans="3:16" x14ac:dyDescent="0.25">
      <c r="C1260" s="12"/>
      <c r="G1260" s="5"/>
      <c r="P1260" s="5"/>
    </row>
    <row r="1261" spans="3:16" x14ac:dyDescent="0.25">
      <c r="C1261" s="12"/>
      <c r="G1261" s="5"/>
      <c r="P1261" s="5"/>
    </row>
    <row r="1262" spans="3:16" x14ac:dyDescent="0.25">
      <c r="C1262" s="12"/>
      <c r="G1262" s="5"/>
      <c r="P1262" s="5"/>
    </row>
    <row r="1263" spans="3:16" x14ac:dyDescent="0.25">
      <c r="C1263" s="12"/>
      <c r="G1263" s="5"/>
      <c r="P1263" s="5"/>
    </row>
    <row r="1264" spans="3:16" x14ac:dyDescent="0.25">
      <c r="C1264" s="12"/>
      <c r="G1264" s="5"/>
      <c r="P1264" s="5"/>
    </row>
    <row r="1265" spans="3:16" x14ac:dyDescent="0.25">
      <c r="C1265" s="12"/>
      <c r="G1265" s="5"/>
      <c r="P1265" s="5"/>
    </row>
    <row r="1266" spans="3:16" x14ac:dyDescent="0.25">
      <c r="C1266" s="12"/>
      <c r="G1266" s="5"/>
      <c r="P1266" s="5"/>
    </row>
    <row r="1267" spans="3:16" x14ac:dyDescent="0.25">
      <c r="C1267" s="12"/>
      <c r="G1267" s="5"/>
      <c r="P1267" s="5"/>
    </row>
    <row r="1268" spans="3:16" x14ac:dyDescent="0.25">
      <c r="C1268" s="12"/>
      <c r="G1268" s="5"/>
      <c r="P1268" s="5"/>
    </row>
    <row r="1269" spans="3:16" x14ac:dyDescent="0.25">
      <c r="C1269" s="12"/>
      <c r="G1269" s="5"/>
      <c r="P1269" s="5"/>
    </row>
    <row r="1270" spans="3:16" x14ac:dyDescent="0.25">
      <c r="C1270" s="12"/>
      <c r="G1270" s="5"/>
      <c r="P1270" s="5"/>
    </row>
    <row r="1271" spans="3:16" x14ac:dyDescent="0.25">
      <c r="C1271" s="12"/>
      <c r="G1271" s="5"/>
      <c r="P1271" s="5"/>
    </row>
    <row r="1272" spans="3:16" x14ac:dyDescent="0.25">
      <c r="C1272" s="12"/>
      <c r="G1272" s="5"/>
      <c r="P1272" s="5"/>
    </row>
    <row r="1273" spans="3:16" x14ac:dyDescent="0.25">
      <c r="C1273" s="12"/>
      <c r="G1273" s="5"/>
      <c r="P1273" s="5"/>
    </row>
    <row r="1274" spans="3:16" x14ac:dyDescent="0.25">
      <c r="C1274" s="12"/>
      <c r="G1274" s="5"/>
      <c r="P1274" s="5"/>
    </row>
    <row r="1275" spans="3:16" x14ac:dyDescent="0.25">
      <c r="C1275" s="12"/>
      <c r="G1275" s="5"/>
      <c r="P1275" s="5"/>
    </row>
    <row r="1276" spans="3:16" x14ac:dyDescent="0.25">
      <c r="C1276" s="12"/>
      <c r="G1276" s="5"/>
      <c r="P1276" s="5"/>
    </row>
    <row r="1277" spans="3:16" x14ac:dyDescent="0.25">
      <c r="C1277" s="12"/>
      <c r="G1277" s="5"/>
      <c r="P1277" s="5"/>
    </row>
    <row r="1278" spans="3:16" x14ac:dyDescent="0.25">
      <c r="C1278" s="12"/>
      <c r="G1278" s="5"/>
      <c r="P1278" s="5"/>
    </row>
    <row r="1279" spans="3:16" x14ac:dyDescent="0.25">
      <c r="C1279" s="12"/>
      <c r="G1279" s="5"/>
      <c r="P1279" s="5"/>
    </row>
    <row r="1280" spans="3:16" x14ac:dyDescent="0.25">
      <c r="C1280" s="12"/>
      <c r="G1280" s="5"/>
      <c r="P1280" s="5"/>
    </row>
    <row r="1281" spans="3:16" x14ac:dyDescent="0.25">
      <c r="C1281" s="12"/>
      <c r="G1281" s="5"/>
      <c r="P1281" s="5"/>
    </row>
    <row r="1282" spans="3:16" x14ac:dyDescent="0.25">
      <c r="C1282" s="12"/>
      <c r="G1282" s="5"/>
      <c r="P1282" s="5"/>
    </row>
    <row r="1283" spans="3:16" x14ac:dyDescent="0.25">
      <c r="C1283" s="12"/>
      <c r="G1283" s="5"/>
      <c r="P1283" s="5"/>
    </row>
    <row r="1284" spans="3:16" x14ac:dyDescent="0.25">
      <c r="C1284" s="12"/>
      <c r="G1284" s="5"/>
      <c r="P1284" s="5"/>
    </row>
    <row r="1285" spans="3:16" x14ac:dyDescent="0.25">
      <c r="C1285" s="12"/>
      <c r="G1285" s="5"/>
      <c r="P1285" s="5"/>
    </row>
    <row r="1286" spans="3:16" x14ac:dyDescent="0.25">
      <c r="C1286" s="12"/>
      <c r="G1286" s="5"/>
      <c r="P1286" s="5"/>
    </row>
    <row r="1287" spans="3:16" x14ac:dyDescent="0.25">
      <c r="C1287" s="12"/>
      <c r="G1287" s="5"/>
      <c r="P1287" s="5"/>
    </row>
    <row r="1288" spans="3:16" x14ac:dyDescent="0.25">
      <c r="C1288" s="12"/>
      <c r="G1288" s="5"/>
      <c r="P1288" s="5"/>
    </row>
    <row r="1289" spans="3:16" x14ac:dyDescent="0.25">
      <c r="C1289" s="12"/>
      <c r="G1289" s="5"/>
      <c r="P1289" s="5"/>
    </row>
    <row r="1290" spans="3:16" x14ac:dyDescent="0.25">
      <c r="C1290" s="12"/>
      <c r="G1290" s="5"/>
      <c r="P1290" s="5"/>
    </row>
    <row r="1291" spans="3:16" x14ac:dyDescent="0.25">
      <c r="C1291" s="12"/>
      <c r="G1291" s="5"/>
      <c r="P1291" s="5"/>
    </row>
    <row r="1292" spans="3:16" x14ac:dyDescent="0.25">
      <c r="C1292" s="12"/>
      <c r="G1292" s="5"/>
      <c r="P1292" s="5"/>
    </row>
    <row r="1293" spans="3:16" x14ac:dyDescent="0.25">
      <c r="C1293" s="12"/>
      <c r="G1293" s="5"/>
      <c r="P1293" s="5"/>
    </row>
    <row r="1294" spans="3:16" x14ac:dyDescent="0.25">
      <c r="C1294" s="12"/>
      <c r="G1294" s="5"/>
      <c r="P1294" s="5"/>
    </row>
    <row r="1295" spans="3:16" x14ac:dyDescent="0.25">
      <c r="C1295" s="12"/>
      <c r="G1295" s="5"/>
      <c r="P1295" s="5"/>
    </row>
    <row r="1296" spans="3:16" x14ac:dyDescent="0.25">
      <c r="C1296" s="12"/>
      <c r="G1296" s="5"/>
      <c r="P1296" s="5"/>
    </row>
    <row r="1297" spans="3:16" x14ac:dyDescent="0.25">
      <c r="C1297" s="12"/>
      <c r="G1297" s="5"/>
      <c r="P1297" s="5"/>
    </row>
    <row r="1298" spans="3:16" x14ac:dyDescent="0.25">
      <c r="C1298" s="12"/>
      <c r="G1298" s="5"/>
      <c r="P1298" s="5"/>
    </row>
    <row r="1299" spans="3:16" x14ac:dyDescent="0.25">
      <c r="C1299" s="12"/>
      <c r="G1299" s="5"/>
      <c r="P1299" s="5"/>
    </row>
    <row r="1300" spans="3:16" x14ac:dyDescent="0.25">
      <c r="C1300" s="12"/>
      <c r="G1300" s="5"/>
      <c r="P1300" s="5"/>
    </row>
    <row r="1301" spans="3:16" x14ac:dyDescent="0.25">
      <c r="C1301" s="12"/>
      <c r="G1301" s="5"/>
      <c r="P1301" s="5"/>
    </row>
    <row r="1302" spans="3:16" x14ac:dyDescent="0.25">
      <c r="C1302" s="12"/>
      <c r="G1302" s="5"/>
      <c r="P1302" s="5"/>
    </row>
    <row r="1303" spans="3:16" x14ac:dyDescent="0.25">
      <c r="C1303" s="12"/>
      <c r="G1303" s="5"/>
      <c r="P1303" s="5"/>
    </row>
    <row r="1304" spans="3:16" x14ac:dyDescent="0.25">
      <c r="C1304" s="12"/>
      <c r="G1304" s="5"/>
      <c r="P1304" s="5"/>
    </row>
    <row r="1305" spans="3:16" x14ac:dyDescent="0.25">
      <c r="C1305" s="12"/>
      <c r="G1305" s="5"/>
      <c r="P1305" s="5"/>
    </row>
    <row r="1306" spans="3:16" x14ac:dyDescent="0.25">
      <c r="C1306" s="12"/>
      <c r="G1306" s="5"/>
      <c r="P1306" s="5"/>
    </row>
    <row r="1307" spans="3:16" x14ac:dyDescent="0.25">
      <c r="C1307" s="12"/>
      <c r="G1307" s="5"/>
      <c r="P1307" s="5"/>
    </row>
    <row r="1308" spans="3:16" x14ac:dyDescent="0.25">
      <c r="C1308" s="12"/>
      <c r="G1308" s="5"/>
      <c r="P1308" s="5"/>
    </row>
    <row r="1309" spans="3:16" x14ac:dyDescent="0.25">
      <c r="C1309" s="12"/>
      <c r="G1309" s="5"/>
      <c r="P1309" s="5"/>
    </row>
    <row r="1310" spans="3:16" x14ac:dyDescent="0.25">
      <c r="C1310" s="12"/>
      <c r="G1310" s="5"/>
      <c r="P1310" s="5"/>
    </row>
    <row r="1311" spans="3:16" x14ac:dyDescent="0.25">
      <c r="C1311" s="12"/>
      <c r="G1311" s="5"/>
      <c r="P1311" s="5"/>
    </row>
    <row r="1312" spans="3:16" x14ac:dyDescent="0.25">
      <c r="C1312" s="12"/>
      <c r="G1312" s="5"/>
      <c r="P1312" s="5"/>
    </row>
    <row r="1313" spans="3:16" x14ac:dyDescent="0.25">
      <c r="C1313" s="12"/>
      <c r="G1313" s="5"/>
      <c r="P1313" s="5"/>
    </row>
    <row r="1314" spans="3:16" x14ac:dyDescent="0.25">
      <c r="C1314" s="12"/>
      <c r="G1314" s="5"/>
      <c r="P1314" s="5"/>
    </row>
    <row r="1315" spans="3:16" x14ac:dyDescent="0.25">
      <c r="C1315" s="12"/>
      <c r="G1315" s="5"/>
      <c r="P1315" s="5"/>
    </row>
    <row r="1316" spans="3:16" x14ac:dyDescent="0.25">
      <c r="C1316" s="12"/>
      <c r="G1316" s="5"/>
      <c r="P1316" s="5"/>
    </row>
    <row r="1317" spans="3:16" x14ac:dyDescent="0.25">
      <c r="C1317" s="12"/>
      <c r="G1317" s="5"/>
      <c r="P1317" s="5"/>
    </row>
    <row r="1318" spans="3:16" x14ac:dyDescent="0.25">
      <c r="C1318" s="12"/>
      <c r="G1318" s="5"/>
      <c r="P1318" s="5"/>
    </row>
    <row r="1319" spans="3:16" x14ac:dyDescent="0.25">
      <c r="C1319" s="12"/>
      <c r="G1319" s="5"/>
      <c r="P1319" s="5"/>
    </row>
    <row r="1320" spans="3:16" x14ac:dyDescent="0.25">
      <c r="C1320" s="12"/>
      <c r="G1320" s="5"/>
      <c r="P1320" s="5"/>
    </row>
    <row r="1321" spans="3:16" x14ac:dyDescent="0.25">
      <c r="C1321" s="12"/>
      <c r="G1321" s="5"/>
      <c r="P1321" s="5"/>
    </row>
    <row r="1322" spans="3:16" x14ac:dyDescent="0.25">
      <c r="C1322" s="12"/>
      <c r="G1322" s="5"/>
      <c r="P1322" s="5"/>
    </row>
    <row r="1323" spans="3:16" x14ac:dyDescent="0.25">
      <c r="C1323" s="12"/>
      <c r="G1323" s="5"/>
      <c r="P1323" s="5"/>
    </row>
    <row r="1324" spans="3:16" x14ac:dyDescent="0.25">
      <c r="C1324" s="12"/>
      <c r="G1324" s="5"/>
      <c r="P1324" s="5"/>
    </row>
    <row r="1325" spans="3:16" x14ac:dyDescent="0.25">
      <c r="C1325" s="12"/>
      <c r="G1325" s="5"/>
      <c r="P1325" s="5"/>
    </row>
    <row r="1326" spans="3:16" x14ac:dyDescent="0.25">
      <c r="C1326" s="12"/>
      <c r="G1326" s="5"/>
      <c r="P1326" s="5"/>
    </row>
    <row r="1327" spans="3:16" x14ac:dyDescent="0.25">
      <c r="C1327" s="12"/>
      <c r="G1327" s="5"/>
      <c r="P1327" s="5"/>
    </row>
    <row r="1328" spans="3:16" x14ac:dyDescent="0.25">
      <c r="C1328" s="12"/>
      <c r="G1328" s="5"/>
      <c r="P1328" s="5"/>
    </row>
    <row r="1329" spans="3:16" x14ac:dyDescent="0.25">
      <c r="C1329" s="12"/>
      <c r="G1329" s="5"/>
      <c r="P1329" s="5"/>
    </row>
    <row r="1330" spans="3:16" x14ac:dyDescent="0.25">
      <c r="C1330" s="12"/>
      <c r="G1330" s="5"/>
      <c r="P1330" s="5"/>
    </row>
    <row r="1331" spans="3:16" x14ac:dyDescent="0.25">
      <c r="C1331" s="12"/>
      <c r="G1331" s="5"/>
      <c r="P1331" s="5"/>
    </row>
    <row r="1332" spans="3:16" x14ac:dyDescent="0.25">
      <c r="C1332" s="12"/>
      <c r="G1332" s="5"/>
      <c r="P1332" s="5"/>
    </row>
    <row r="1333" spans="3:16" x14ac:dyDescent="0.25">
      <c r="C1333" s="12"/>
      <c r="G1333" s="5"/>
      <c r="P1333" s="5"/>
    </row>
    <row r="1334" spans="3:16" x14ac:dyDescent="0.25">
      <c r="C1334" s="12"/>
      <c r="G1334" s="5"/>
      <c r="P1334" s="5"/>
    </row>
    <row r="1335" spans="3:16" x14ac:dyDescent="0.25">
      <c r="C1335" s="12"/>
      <c r="G1335" s="5"/>
      <c r="P1335" s="5"/>
    </row>
    <row r="1336" spans="3:16" x14ac:dyDescent="0.25">
      <c r="C1336" s="12"/>
      <c r="G1336" s="5"/>
      <c r="P1336" s="5"/>
    </row>
    <row r="1337" spans="3:16" x14ac:dyDescent="0.25">
      <c r="C1337" s="12"/>
      <c r="G1337" s="5"/>
      <c r="P1337" s="5"/>
    </row>
    <row r="1338" spans="3:16" x14ac:dyDescent="0.25">
      <c r="C1338" s="12"/>
      <c r="G1338" s="5"/>
      <c r="P1338" s="5"/>
    </row>
    <row r="1339" spans="3:16" x14ac:dyDescent="0.25">
      <c r="C1339" s="12"/>
      <c r="G1339" s="5"/>
      <c r="P1339" s="5"/>
    </row>
    <row r="1340" spans="3:16" x14ac:dyDescent="0.25">
      <c r="C1340" s="12"/>
      <c r="G1340" s="5"/>
      <c r="P1340" s="5"/>
    </row>
    <row r="1341" spans="3:16" x14ac:dyDescent="0.25">
      <c r="C1341" s="12"/>
      <c r="G1341" s="5"/>
      <c r="P1341" s="5"/>
    </row>
    <row r="1342" spans="3:16" x14ac:dyDescent="0.25">
      <c r="C1342" s="12"/>
      <c r="G1342" s="5"/>
      <c r="P1342" s="5"/>
    </row>
    <row r="1343" spans="3:16" x14ac:dyDescent="0.25">
      <c r="C1343" s="12"/>
      <c r="G1343" s="5"/>
      <c r="P1343" s="5"/>
    </row>
    <row r="1344" spans="3:16" x14ac:dyDescent="0.25">
      <c r="C1344" s="12"/>
      <c r="G1344" s="5"/>
      <c r="P1344" s="5"/>
    </row>
    <row r="1345" spans="3:16" x14ac:dyDescent="0.25">
      <c r="C1345" s="12"/>
      <c r="G1345" s="5"/>
      <c r="P1345" s="5"/>
    </row>
    <row r="1346" spans="3:16" x14ac:dyDescent="0.25">
      <c r="C1346" s="12"/>
      <c r="G1346" s="5"/>
      <c r="P1346" s="5"/>
    </row>
    <row r="1347" spans="3:16" x14ac:dyDescent="0.25">
      <c r="C1347" s="12"/>
      <c r="G1347" s="5"/>
      <c r="P1347" s="5"/>
    </row>
    <row r="1348" spans="3:16" x14ac:dyDescent="0.25">
      <c r="C1348" s="12"/>
      <c r="G1348" s="5"/>
      <c r="P1348" s="5"/>
    </row>
    <row r="1349" spans="3:16" x14ac:dyDescent="0.25">
      <c r="C1349" s="12"/>
      <c r="G1349" s="5"/>
      <c r="P1349" s="5"/>
    </row>
    <row r="1350" spans="3:16" x14ac:dyDescent="0.25">
      <c r="C1350" s="12"/>
      <c r="G1350" s="5"/>
      <c r="P1350" s="5"/>
    </row>
    <row r="1351" spans="3:16" x14ac:dyDescent="0.25">
      <c r="C1351" s="12"/>
      <c r="G1351" s="5"/>
      <c r="P1351" s="5"/>
    </row>
    <row r="1352" spans="3:16" x14ac:dyDescent="0.25">
      <c r="C1352" s="12"/>
      <c r="G1352" s="5"/>
      <c r="P1352" s="5"/>
    </row>
    <row r="1353" spans="3:16" x14ac:dyDescent="0.25">
      <c r="C1353" s="12"/>
      <c r="G1353" s="5"/>
      <c r="P1353" s="5"/>
    </row>
    <row r="1354" spans="3:16" x14ac:dyDescent="0.25">
      <c r="C1354" s="12"/>
      <c r="G1354" s="5"/>
      <c r="P1354" s="5"/>
    </row>
    <row r="1355" spans="3:16" x14ac:dyDescent="0.25">
      <c r="C1355" s="12"/>
      <c r="G1355" s="5"/>
      <c r="P1355" s="5"/>
    </row>
    <row r="1356" spans="3:16" x14ac:dyDescent="0.25">
      <c r="C1356" s="12"/>
      <c r="G1356" s="5"/>
      <c r="P1356" s="5"/>
    </row>
    <row r="1357" spans="3:16" x14ac:dyDescent="0.25">
      <c r="C1357" s="12"/>
      <c r="G1357" s="5"/>
      <c r="P1357" s="5"/>
    </row>
    <row r="1358" spans="3:16" x14ac:dyDescent="0.25">
      <c r="C1358" s="12"/>
      <c r="G1358" s="5"/>
      <c r="P1358" s="5"/>
    </row>
    <row r="1359" spans="3:16" x14ac:dyDescent="0.25">
      <c r="C1359" s="12"/>
      <c r="G1359" s="5"/>
      <c r="P1359" s="5"/>
    </row>
    <row r="1360" spans="3:16" x14ac:dyDescent="0.25">
      <c r="C1360" s="12"/>
      <c r="G1360" s="5"/>
      <c r="P1360" s="5"/>
    </row>
    <row r="1361" spans="3:16" x14ac:dyDescent="0.25">
      <c r="C1361" s="12"/>
      <c r="G1361" s="5"/>
      <c r="P1361" s="5"/>
    </row>
    <row r="1362" spans="3:16" x14ac:dyDescent="0.25">
      <c r="C1362" s="12"/>
      <c r="G1362" s="5"/>
      <c r="P1362" s="5"/>
    </row>
    <row r="1363" spans="3:16" x14ac:dyDescent="0.25">
      <c r="C1363" s="12"/>
      <c r="G1363" s="5"/>
      <c r="P1363" s="5"/>
    </row>
    <row r="1364" spans="3:16" x14ac:dyDescent="0.25">
      <c r="C1364" s="12"/>
      <c r="G1364" s="5"/>
      <c r="P1364" s="5"/>
    </row>
    <row r="1365" spans="3:16" x14ac:dyDescent="0.25">
      <c r="C1365" s="12"/>
      <c r="G1365" s="5"/>
      <c r="P1365" s="5"/>
    </row>
    <row r="1366" spans="3:16" x14ac:dyDescent="0.25">
      <c r="C1366" s="12"/>
      <c r="G1366" s="5"/>
      <c r="P1366" s="5"/>
    </row>
    <row r="1367" spans="3:16" x14ac:dyDescent="0.25">
      <c r="C1367" s="12"/>
      <c r="G1367" s="5"/>
      <c r="P1367" s="5"/>
    </row>
    <row r="1368" spans="3:16" x14ac:dyDescent="0.25">
      <c r="C1368" s="12"/>
      <c r="G1368" s="5"/>
      <c r="P1368" s="5"/>
    </row>
    <row r="1369" spans="3:16" x14ac:dyDescent="0.25">
      <c r="C1369" s="12"/>
      <c r="G1369" s="5"/>
      <c r="P1369" s="5"/>
    </row>
    <row r="1370" spans="3:16" x14ac:dyDescent="0.25">
      <c r="C1370" s="12"/>
      <c r="G1370" s="5"/>
      <c r="P1370" s="5"/>
    </row>
    <row r="1371" spans="3:16" x14ac:dyDescent="0.25">
      <c r="C1371" s="12"/>
      <c r="G1371" s="5"/>
      <c r="P1371" s="5"/>
    </row>
    <row r="1372" spans="3:16" x14ac:dyDescent="0.25">
      <c r="C1372" s="12"/>
      <c r="G1372" s="5"/>
      <c r="P1372" s="5"/>
    </row>
    <row r="1373" spans="3:16" x14ac:dyDescent="0.25">
      <c r="C1373" s="12"/>
      <c r="G1373" s="5"/>
      <c r="P1373" s="5"/>
    </row>
    <row r="1374" spans="3:16" x14ac:dyDescent="0.25">
      <c r="C1374" s="12"/>
      <c r="G1374" s="5"/>
      <c r="P1374" s="5"/>
    </row>
    <row r="1375" spans="3:16" x14ac:dyDescent="0.25">
      <c r="C1375" s="12"/>
      <c r="G1375" s="5"/>
      <c r="P1375" s="5"/>
    </row>
    <row r="1376" spans="3:16" x14ac:dyDescent="0.25">
      <c r="C1376" s="12"/>
      <c r="G1376" s="5"/>
      <c r="P1376" s="5"/>
    </row>
    <row r="1377" spans="3:16" x14ac:dyDescent="0.25">
      <c r="C1377" s="12"/>
      <c r="G1377" s="5"/>
      <c r="P1377" s="5"/>
    </row>
    <row r="1378" spans="3:16" x14ac:dyDescent="0.25">
      <c r="C1378" s="12"/>
      <c r="G1378" s="5"/>
      <c r="P1378" s="5"/>
    </row>
    <row r="1379" spans="3:16" x14ac:dyDescent="0.25">
      <c r="C1379" s="12"/>
      <c r="G1379" s="5"/>
      <c r="P1379" s="5"/>
    </row>
    <row r="1380" spans="3:16" x14ac:dyDescent="0.25">
      <c r="C1380" s="12"/>
      <c r="G1380" s="5"/>
      <c r="P1380" s="5"/>
    </row>
    <row r="1381" spans="3:16" x14ac:dyDescent="0.25">
      <c r="C1381" s="12"/>
      <c r="G1381" s="5"/>
      <c r="P1381" s="5"/>
    </row>
    <row r="1382" spans="3:16" x14ac:dyDescent="0.25">
      <c r="C1382" s="12"/>
      <c r="G1382" s="5"/>
      <c r="P1382" s="5"/>
    </row>
    <row r="1383" spans="3:16" x14ac:dyDescent="0.25">
      <c r="C1383" s="12"/>
      <c r="G1383" s="5"/>
      <c r="P1383" s="5"/>
    </row>
    <row r="1384" spans="3:16" x14ac:dyDescent="0.25">
      <c r="C1384" s="12"/>
      <c r="G1384" s="5"/>
      <c r="P1384" s="5"/>
    </row>
    <row r="1385" spans="3:16" x14ac:dyDescent="0.25">
      <c r="C1385" s="12"/>
      <c r="G1385" s="5"/>
      <c r="P1385" s="5"/>
    </row>
    <row r="1386" spans="3:16" x14ac:dyDescent="0.25">
      <c r="C1386" s="12"/>
      <c r="G1386" s="5"/>
      <c r="P1386" s="5"/>
    </row>
    <row r="1387" spans="3:16" x14ac:dyDescent="0.25">
      <c r="C1387" s="12"/>
      <c r="G1387" s="5"/>
      <c r="P1387" s="5"/>
    </row>
    <row r="1388" spans="3:16" x14ac:dyDescent="0.25">
      <c r="C1388" s="12"/>
      <c r="G1388" s="5"/>
      <c r="P1388" s="5"/>
    </row>
    <row r="1389" spans="3:16" x14ac:dyDescent="0.25">
      <c r="C1389" s="12"/>
      <c r="G1389" s="5"/>
      <c r="P1389" s="5"/>
    </row>
    <row r="1390" spans="3:16" x14ac:dyDescent="0.25">
      <c r="C1390" s="12"/>
      <c r="G1390" s="5"/>
      <c r="P1390" s="5"/>
    </row>
    <row r="1391" spans="3:16" x14ac:dyDescent="0.25">
      <c r="C1391" s="12"/>
      <c r="G1391" s="5"/>
      <c r="P1391" s="5"/>
    </row>
    <row r="1392" spans="3:16" x14ac:dyDescent="0.25">
      <c r="C1392" s="12"/>
      <c r="G1392" s="5"/>
      <c r="P1392" s="5"/>
    </row>
    <row r="1393" spans="3:16" x14ac:dyDescent="0.25">
      <c r="C1393" s="12"/>
      <c r="G1393" s="5"/>
      <c r="P1393" s="5"/>
    </row>
    <row r="1394" spans="3:16" x14ac:dyDescent="0.25">
      <c r="C1394" s="12"/>
      <c r="G1394" s="5"/>
      <c r="P1394" s="5"/>
    </row>
    <row r="1395" spans="3:16" x14ac:dyDescent="0.25">
      <c r="C1395" s="12"/>
      <c r="G1395" s="5"/>
      <c r="P1395" s="5"/>
    </row>
    <row r="1396" spans="3:16" x14ac:dyDescent="0.25">
      <c r="C1396" s="12"/>
      <c r="G1396" s="5"/>
      <c r="P1396" s="5"/>
    </row>
    <row r="1397" spans="3:16" x14ac:dyDescent="0.25">
      <c r="C1397" s="12"/>
      <c r="G1397" s="5"/>
      <c r="P1397" s="5"/>
    </row>
    <row r="1398" spans="3:16" x14ac:dyDescent="0.25">
      <c r="C1398" s="12"/>
      <c r="G1398" s="5"/>
      <c r="P1398" s="5"/>
    </row>
    <row r="1399" spans="3:16" x14ac:dyDescent="0.25">
      <c r="C1399" s="12"/>
      <c r="G1399" s="5"/>
      <c r="P1399" s="5"/>
    </row>
    <row r="1400" spans="3:16" x14ac:dyDescent="0.25">
      <c r="C1400" s="12"/>
      <c r="G1400" s="5"/>
      <c r="P1400" s="5"/>
    </row>
    <row r="1401" spans="3:16" x14ac:dyDescent="0.25">
      <c r="C1401" s="12"/>
      <c r="G1401" s="5"/>
      <c r="P1401" s="5"/>
    </row>
    <row r="1402" spans="3:16" x14ac:dyDescent="0.25">
      <c r="C1402" s="12"/>
      <c r="G1402" s="5"/>
      <c r="P1402" s="5"/>
    </row>
    <row r="1403" spans="3:16" x14ac:dyDescent="0.25">
      <c r="C1403" s="12"/>
      <c r="G1403" s="5"/>
      <c r="P1403" s="5"/>
    </row>
    <row r="1404" spans="3:16" x14ac:dyDescent="0.25">
      <c r="C1404" s="12"/>
      <c r="G1404" s="5"/>
      <c r="P1404" s="5"/>
    </row>
    <row r="1405" spans="3:16" x14ac:dyDescent="0.25">
      <c r="C1405" s="12"/>
      <c r="G1405" s="5"/>
      <c r="P1405" s="5"/>
    </row>
    <row r="1406" spans="3:16" x14ac:dyDescent="0.25">
      <c r="C1406" s="12"/>
      <c r="G1406" s="5"/>
      <c r="P1406" s="5"/>
    </row>
    <row r="1407" spans="3:16" x14ac:dyDescent="0.25">
      <c r="C1407" s="12"/>
      <c r="G1407" s="5"/>
      <c r="P1407" s="5"/>
    </row>
    <row r="1408" spans="3:16" x14ac:dyDescent="0.25">
      <c r="C1408" s="12"/>
      <c r="G1408" s="5"/>
      <c r="P1408" s="5"/>
    </row>
    <row r="1409" spans="3:16" x14ac:dyDescent="0.25">
      <c r="C1409" s="12"/>
      <c r="G1409" s="5"/>
      <c r="P1409" s="5"/>
    </row>
    <row r="1410" spans="3:16" x14ac:dyDescent="0.25">
      <c r="C1410" s="12"/>
      <c r="G1410" s="5"/>
      <c r="P1410" s="5"/>
    </row>
    <row r="1411" spans="3:16" x14ac:dyDescent="0.25">
      <c r="C1411" s="12"/>
      <c r="G1411" s="5"/>
      <c r="P1411" s="5"/>
    </row>
    <row r="1412" spans="3:16" x14ac:dyDescent="0.25">
      <c r="C1412" s="12"/>
      <c r="G1412" s="5"/>
      <c r="P1412" s="5"/>
    </row>
    <row r="1413" spans="3:16" x14ac:dyDescent="0.25">
      <c r="C1413" s="12"/>
      <c r="G1413" s="5"/>
      <c r="P1413" s="5"/>
    </row>
    <row r="1414" spans="3:16" x14ac:dyDescent="0.25">
      <c r="C1414" s="12"/>
      <c r="G1414" s="5"/>
      <c r="P1414" s="5"/>
    </row>
    <row r="1415" spans="3:16" x14ac:dyDescent="0.25">
      <c r="C1415" s="12"/>
      <c r="G1415" s="5"/>
      <c r="P1415" s="5"/>
    </row>
    <row r="1416" spans="3:16" x14ac:dyDescent="0.25">
      <c r="C1416" s="12"/>
      <c r="G1416" s="5"/>
      <c r="P1416" s="5"/>
    </row>
    <row r="1417" spans="3:16" x14ac:dyDescent="0.25">
      <c r="C1417" s="12"/>
      <c r="G1417" s="5"/>
      <c r="P1417" s="5"/>
    </row>
    <row r="1418" spans="3:16" x14ac:dyDescent="0.25">
      <c r="C1418" s="12"/>
      <c r="G1418" s="5"/>
      <c r="P1418" s="5"/>
    </row>
    <row r="1419" spans="3:16" x14ac:dyDescent="0.25">
      <c r="C1419" s="12"/>
      <c r="G1419" s="5"/>
      <c r="P1419" s="5"/>
    </row>
    <row r="1420" spans="3:16" x14ac:dyDescent="0.25">
      <c r="C1420" s="12"/>
      <c r="G1420" s="5"/>
      <c r="P1420" s="5"/>
    </row>
    <row r="1421" spans="3:16" x14ac:dyDescent="0.25">
      <c r="C1421" s="12"/>
      <c r="G1421" s="5"/>
      <c r="P1421" s="5"/>
    </row>
    <row r="1422" spans="3:16" x14ac:dyDescent="0.25">
      <c r="C1422" s="12"/>
      <c r="G1422" s="5"/>
      <c r="P1422" s="5"/>
    </row>
    <row r="1423" spans="3:16" x14ac:dyDescent="0.25">
      <c r="C1423" s="12"/>
      <c r="G1423" s="5"/>
      <c r="P1423" s="5"/>
    </row>
    <row r="1424" spans="3:16" x14ac:dyDescent="0.25">
      <c r="C1424" s="12"/>
      <c r="G1424" s="5"/>
      <c r="P1424" s="5"/>
    </row>
    <row r="1425" spans="3:16" x14ac:dyDescent="0.25">
      <c r="C1425" s="12"/>
      <c r="G1425" s="5"/>
      <c r="P1425" s="5"/>
    </row>
    <row r="1426" spans="3:16" x14ac:dyDescent="0.25">
      <c r="C1426" s="12"/>
      <c r="G1426" s="5"/>
      <c r="P1426" s="5"/>
    </row>
    <row r="1427" spans="3:16" x14ac:dyDescent="0.25">
      <c r="C1427" s="12"/>
      <c r="G1427" s="5"/>
      <c r="P1427" s="5"/>
    </row>
    <row r="1428" spans="3:16" x14ac:dyDescent="0.25">
      <c r="C1428" s="12"/>
      <c r="G1428" s="5"/>
      <c r="P1428" s="5"/>
    </row>
    <row r="1429" spans="3:16" x14ac:dyDescent="0.25">
      <c r="C1429" s="12"/>
      <c r="G1429" s="5"/>
      <c r="P1429" s="5"/>
    </row>
    <row r="1430" spans="3:16" x14ac:dyDescent="0.25">
      <c r="C1430" s="12"/>
      <c r="G1430" s="5"/>
      <c r="P1430" s="5"/>
    </row>
    <row r="1431" spans="3:16" x14ac:dyDescent="0.25">
      <c r="C1431" s="12"/>
      <c r="G1431" s="5"/>
      <c r="P1431" s="5"/>
    </row>
    <row r="1432" spans="3:16" x14ac:dyDescent="0.25">
      <c r="C1432" s="12"/>
      <c r="G1432" s="5"/>
      <c r="P1432" s="5"/>
    </row>
    <row r="1433" spans="3:16" x14ac:dyDescent="0.25">
      <c r="C1433" s="12"/>
      <c r="G1433" s="5"/>
      <c r="P1433" s="5"/>
    </row>
    <row r="1434" spans="3:16" x14ac:dyDescent="0.25">
      <c r="C1434" s="12"/>
      <c r="G1434" s="5"/>
      <c r="P1434" s="5"/>
    </row>
    <row r="1435" spans="3:16" x14ac:dyDescent="0.25">
      <c r="C1435" s="12"/>
      <c r="G1435" s="5"/>
      <c r="P1435" s="5"/>
    </row>
    <row r="1436" spans="3:16" x14ac:dyDescent="0.25">
      <c r="C1436" s="12"/>
      <c r="G1436" s="5"/>
      <c r="P1436" s="5"/>
    </row>
    <row r="1437" spans="3:16" x14ac:dyDescent="0.25">
      <c r="C1437" s="12"/>
      <c r="G1437" s="5"/>
      <c r="P1437" s="5"/>
    </row>
    <row r="1438" spans="3:16" x14ac:dyDescent="0.25">
      <c r="C1438" s="12"/>
      <c r="G1438" s="5"/>
      <c r="P1438" s="5"/>
    </row>
    <row r="1439" spans="3:16" x14ac:dyDescent="0.25">
      <c r="C1439" s="12"/>
      <c r="G1439" s="5"/>
      <c r="P1439" s="5"/>
    </row>
    <row r="1440" spans="3:16" x14ac:dyDescent="0.25">
      <c r="C1440" s="12"/>
      <c r="G1440" s="5"/>
      <c r="P1440" s="5"/>
    </row>
    <row r="1441" spans="3:16" x14ac:dyDescent="0.25">
      <c r="C1441" s="12"/>
      <c r="G1441" s="5"/>
      <c r="P1441" s="5"/>
    </row>
    <row r="1442" spans="3:16" x14ac:dyDescent="0.25">
      <c r="C1442" s="12"/>
      <c r="G1442" s="5"/>
      <c r="P1442" s="5"/>
    </row>
    <row r="1443" spans="3:16" x14ac:dyDescent="0.25">
      <c r="C1443" s="12"/>
      <c r="G1443" s="5"/>
      <c r="P1443" s="5"/>
    </row>
    <row r="1444" spans="3:16" x14ac:dyDescent="0.25">
      <c r="C1444" s="12"/>
      <c r="G1444" s="5"/>
      <c r="P1444" s="5"/>
    </row>
    <row r="1445" spans="3:16" x14ac:dyDescent="0.25">
      <c r="C1445" s="12"/>
      <c r="G1445" s="5"/>
      <c r="P1445" s="5"/>
    </row>
    <row r="1446" spans="3:16" x14ac:dyDescent="0.25">
      <c r="C1446" s="12"/>
      <c r="G1446" s="5"/>
      <c r="P1446" s="5"/>
    </row>
    <row r="1447" spans="3:16" x14ac:dyDescent="0.25">
      <c r="C1447" s="12"/>
      <c r="G1447" s="5"/>
      <c r="P1447" s="5"/>
    </row>
    <row r="1448" spans="3:16" x14ac:dyDescent="0.25">
      <c r="C1448" s="12"/>
      <c r="G1448" s="5"/>
      <c r="P1448" s="5"/>
    </row>
    <row r="1449" spans="3:16" x14ac:dyDescent="0.25">
      <c r="C1449" s="12"/>
      <c r="G1449" s="5"/>
      <c r="P1449" s="5"/>
    </row>
    <row r="1450" spans="3:16" x14ac:dyDescent="0.25">
      <c r="C1450" s="12"/>
      <c r="G1450" s="5"/>
      <c r="P1450" s="5"/>
    </row>
    <row r="1451" spans="3:16" x14ac:dyDescent="0.25">
      <c r="C1451" s="12"/>
      <c r="G1451" s="5"/>
      <c r="P1451" s="5"/>
    </row>
    <row r="1452" spans="3:16" x14ac:dyDescent="0.25">
      <c r="C1452" s="12"/>
      <c r="G1452" s="5"/>
      <c r="P1452" s="5"/>
    </row>
    <row r="1453" spans="3:16" x14ac:dyDescent="0.25">
      <c r="C1453" s="12"/>
      <c r="G1453" s="5"/>
      <c r="P1453" s="5"/>
    </row>
    <row r="1454" spans="3:16" x14ac:dyDescent="0.25">
      <c r="C1454" s="12"/>
      <c r="G1454" s="5"/>
      <c r="P1454" s="5"/>
    </row>
    <row r="1455" spans="3:16" x14ac:dyDescent="0.25">
      <c r="C1455" s="12"/>
      <c r="G1455" s="5"/>
      <c r="P1455" s="5"/>
    </row>
    <row r="1456" spans="3:16" x14ac:dyDescent="0.25">
      <c r="C1456" s="12"/>
      <c r="G1456" s="5"/>
      <c r="P1456" s="5"/>
    </row>
    <row r="1457" spans="3:16" x14ac:dyDescent="0.25">
      <c r="C1457" s="12"/>
      <c r="G1457" s="5"/>
      <c r="P1457" s="5"/>
    </row>
    <row r="1458" spans="3:16" x14ac:dyDescent="0.25">
      <c r="C1458" s="12"/>
      <c r="G1458" s="5"/>
      <c r="P1458" s="5"/>
    </row>
    <row r="1459" spans="3:16" x14ac:dyDescent="0.25">
      <c r="C1459" s="12"/>
      <c r="G1459" s="5"/>
      <c r="P1459" s="5"/>
    </row>
    <row r="1460" spans="3:16" x14ac:dyDescent="0.25">
      <c r="C1460" s="12"/>
      <c r="G1460" s="5"/>
      <c r="P1460" s="5"/>
    </row>
    <row r="1461" spans="3:16" x14ac:dyDescent="0.25">
      <c r="C1461" s="12"/>
      <c r="G1461" s="5"/>
      <c r="P1461" s="5"/>
    </row>
    <row r="1462" spans="3:16" x14ac:dyDescent="0.25">
      <c r="C1462" s="12"/>
      <c r="G1462" s="5"/>
      <c r="P1462" s="5"/>
    </row>
    <row r="1463" spans="3:16" x14ac:dyDescent="0.25">
      <c r="C1463" s="12"/>
      <c r="G1463" s="5"/>
      <c r="P1463" s="5"/>
    </row>
    <row r="1464" spans="3:16" x14ac:dyDescent="0.25">
      <c r="C1464" s="12"/>
      <c r="G1464" s="5"/>
      <c r="P1464" s="5"/>
    </row>
    <row r="1465" spans="3:16" x14ac:dyDescent="0.25">
      <c r="C1465" s="12"/>
      <c r="G1465" s="5"/>
      <c r="P1465" s="5"/>
    </row>
    <row r="1466" spans="3:16" x14ac:dyDescent="0.25">
      <c r="C1466" s="12"/>
      <c r="G1466" s="5"/>
      <c r="P1466" s="5"/>
    </row>
    <row r="1467" spans="3:16" x14ac:dyDescent="0.25">
      <c r="C1467" s="12"/>
      <c r="G1467" s="5"/>
      <c r="P1467" s="5"/>
    </row>
    <row r="1468" spans="3:16" x14ac:dyDescent="0.25">
      <c r="C1468" s="12"/>
      <c r="G1468" s="5"/>
      <c r="P1468" s="5"/>
    </row>
    <row r="1469" spans="3:16" x14ac:dyDescent="0.25">
      <c r="C1469" s="12"/>
      <c r="G1469" s="5"/>
      <c r="P1469" s="5"/>
    </row>
    <row r="1470" spans="3:16" x14ac:dyDescent="0.25">
      <c r="C1470" s="12"/>
      <c r="G1470" s="5"/>
      <c r="P1470" s="5"/>
    </row>
    <row r="1471" spans="3:16" x14ac:dyDescent="0.25">
      <c r="C1471" s="12"/>
      <c r="G1471" s="5"/>
      <c r="P1471" s="5"/>
    </row>
    <row r="1472" spans="3:16" x14ac:dyDescent="0.25">
      <c r="C1472" s="12"/>
      <c r="G1472" s="5"/>
      <c r="P1472" s="5"/>
    </row>
    <row r="1473" spans="3:16" x14ac:dyDescent="0.25">
      <c r="C1473" s="12"/>
      <c r="G1473" s="5"/>
      <c r="P1473" s="5"/>
    </row>
    <row r="1474" spans="3:16" x14ac:dyDescent="0.25">
      <c r="C1474" s="12"/>
      <c r="G1474" s="5"/>
      <c r="P1474" s="5"/>
    </row>
    <row r="1475" spans="3:16" x14ac:dyDescent="0.25">
      <c r="C1475" s="12"/>
      <c r="G1475" s="5"/>
      <c r="P1475" s="5"/>
    </row>
    <row r="1476" spans="3:16" x14ac:dyDescent="0.25">
      <c r="C1476" s="12"/>
      <c r="G1476" s="5"/>
      <c r="P1476" s="5"/>
    </row>
    <row r="1477" spans="3:16" x14ac:dyDescent="0.25">
      <c r="C1477" s="12"/>
      <c r="G1477" s="5"/>
      <c r="P1477" s="5"/>
    </row>
    <row r="1478" spans="3:16" x14ac:dyDescent="0.25">
      <c r="C1478" s="12"/>
      <c r="G1478" s="5"/>
      <c r="P1478" s="5"/>
    </row>
    <row r="1479" spans="3:16" x14ac:dyDescent="0.25">
      <c r="C1479" s="12"/>
      <c r="G1479" s="5"/>
      <c r="P1479" s="5"/>
    </row>
    <row r="1480" spans="3:16" x14ac:dyDescent="0.25">
      <c r="C1480" s="12"/>
      <c r="G1480" s="5"/>
      <c r="P1480" s="5"/>
    </row>
    <row r="1481" spans="3:16" x14ac:dyDescent="0.25">
      <c r="C1481" s="12"/>
      <c r="G1481" s="5"/>
      <c r="P1481" s="5"/>
    </row>
    <row r="1482" spans="3:16" x14ac:dyDescent="0.25">
      <c r="C1482" s="12"/>
      <c r="G1482" s="5"/>
      <c r="P1482" s="5"/>
    </row>
    <row r="1483" spans="3:16" x14ac:dyDescent="0.25">
      <c r="C1483" s="12"/>
      <c r="G1483" s="5"/>
      <c r="P1483" s="5"/>
    </row>
    <row r="1484" spans="3:16" x14ac:dyDescent="0.25">
      <c r="C1484" s="12"/>
      <c r="G1484" s="5"/>
      <c r="P1484" s="5"/>
    </row>
    <row r="1485" spans="3:16" x14ac:dyDescent="0.25">
      <c r="C1485" s="12"/>
      <c r="G1485" s="5"/>
      <c r="P1485" s="5"/>
    </row>
    <row r="1486" spans="3:16" x14ac:dyDescent="0.25">
      <c r="C1486" s="12"/>
      <c r="G1486" s="5"/>
      <c r="P1486" s="5"/>
    </row>
    <row r="1487" spans="3:16" x14ac:dyDescent="0.25">
      <c r="C1487" s="12"/>
      <c r="G1487" s="5"/>
      <c r="P1487" s="5"/>
    </row>
    <row r="1488" spans="3:16" x14ac:dyDescent="0.25">
      <c r="C1488" s="12"/>
      <c r="G1488" s="5"/>
      <c r="P1488" s="5"/>
    </row>
    <row r="1489" spans="3:16" x14ac:dyDescent="0.25">
      <c r="C1489" s="12"/>
      <c r="G1489" s="5"/>
      <c r="P1489" s="5"/>
    </row>
    <row r="1490" spans="3:16" x14ac:dyDescent="0.25">
      <c r="C1490" s="12"/>
      <c r="G1490" s="5"/>
      <c r="P1490" s="5"/>
    </row>
    <row r="1491" spans="3:16" x14ac:dyDescent="0.25">
      <c r="C1491" s="12"/>
      <c r="G1491" s="5"/>
      <c r="P1491" s="5"/>
    </row>
    <row r="1492" spans="3:16" x14ac:dyDescent="0.25">
      <c r="C1492" s="12"/>
      <c r="G1492" s="5"/>
      <c r="P1492" s="5"/>
    </row>
    <row r="1493" spans="3:16" x14ac:dyDescent="0.25">
      <c r="C1493" s="12"/>
      <c r="G1493" s="5"/>
      <c r="P1493" s="5"/>
    </row>
    <row r="1494" spans="3:16" x14ac:dyDescent="0.25">
      <c r="C1494" s="12"/>
      <c r="G1494" s="5"/>
      <c r="P1494" s="5"/>
    </row>
    <row r="1495" spans="3:16" x14ac:dyDescent="0.25">
      <c r="C1495" s="12"/>
      <c r="G1495" s="5"/>
      <c r="P1495" s="5"/>
    </row>
    <row r="1496" spans="3:16" x14ac:dyDescent="0.25">
      <c r="C1496" s="12"/>
      <c r="G1496" s="5"/>
      <c r="P1496" s="5"/>
    </row>
    <row r="1497" spans="3:16" x14ac:dyDescent="0.25">
      <c r="C1497" s="12"/>
      <c r="G1497" s="5"/>
      <c r="P1497" s="5"/>
    </row>
    <row r="1498" spans="3:16" x14ac:dyDescent="0.25">
      <c r="C1498" s="12"/>
      <c r="G1498" s="5"/>
      <c r="P1498" s="5"/>
    </row>
    <row r="1499" spans="3:16" x14ac:dyDescent="0.25">
      <c r="C1499" s="12"/>
      <c r="G1499" s="5"/>
      <c r="P1499" s="5"/>
    </row>
    <row r="1500" spans="3:16" x14ac:dyDescent="0.25">
      <c r="C1500" s="12"/>
      <c r="G1500" s="5"/>
      <c r="P1500" s="5"/>
    </row>
    <row r="1501" spans="3:16" x14ac:dyDescent="0.25">
      <c r="C1501" s="12"/>
      <c r="G1501" s="5"/>
      <c r="P1501" s="5"/>
    </row>
    <row r="1502" spans="3:16" x14ac:dyDescent="0.25">
      <c r="C1502" s="12"/>
      <c r="G1502" s="5"/>
      <c r="P1502" s="5"/>
    </row>
    <row r="1503" spans="3:16" x14ac:dyDescent="0.25">
      <c r="C1503" s="12"/>
      <c r="G1503" s="5"/>
      <c r="P1503" s="5"/>
    </row>
    <row r="1504" spans="3:16" x14ac:dyDescent="0.25">
      <c r="C1504" s="12"/>
      <c r="G1504" s="5"/>
      <c r="P1504" s="5"/>
    </row>
    <row r="1505" spans="3:16" x14ac:dyDescent="0.25">
      <c r="C1505" s="12"/>
      <c r="G1505" s="5"/>
      <c r="P1505" s="5"/>
    </row>
    <row r="1506" spans="3:16" x14ac:dyDescent="0.25">
      <c r="C1506" s="12"/>
      <c r="G1506" s="5"/>
      <c r="P1506" s="5"/>
    </row>
    <row r="1507" spans="3:16" x14ac:dyDescent="0.25">
      <c r="C1507" s="12"/>
      <c r="G1507" s="5"/>
      <c r="P1507" s="5"/>
    </row>
    <row r="1508" spans="3:16" x14ac:dyDescent="0.25">
      <c r="C1508" s="12"/>
      <c r="G1508" s="5"/>
      <c r="P1508" s="5"/>
    </row>
    <row r="1509" spans="3:16" x14ac:dyDescent="0.25">
      <c r="C1509" s="12"/>
      <c r="G1509" s="5"/>
      <c r="P1509" s="5"/>
    </row>
    <row r="1510" spans="3:16" x14ac:dyDescent="0.25">
      <c r="C1510" s="12"/>
      <c r="G1510" s="5"/>
      <c r="P1510" s="5"/>
    </row>
    <row r="1511" spans="3:16" x14ac:dyDescent="0.25">
      <c r="C1511" s="12"/>
      <c r="G1511" s="5"/>
      <c r="P1511" s="5"/>
    </row>
    <row r="1512" spans="3:16" x14ac:dyDescent="0.25">
      <c r="C1512" s="12"/>
      <c r="G1512" s="5"/>
      <c r="P1512" s="5"/>
    </row>
    <row r="1513" spans="3:16" x14ac:dyDescent="0.25">
      <c r="C1513" s="12"/>
      <c r="G1513" s="5"/>
      <c r="P1513" s="5"/>
    </row>
    <row r="1514" spans="3:16" x14ac:dyDescent="0.25">
      <c r="C1514" s="12"/>
      <c r="G1514" s="5"/>
      <c r="P1514" s="5"/>
    </row>
    <row r="1515" spans="3:16" x14ac:dyDescent="0.25">
      <c r="C1515" s="12"/>
      <c r="G1515" s="5"/>
      <c r="P1515" s="5"/>
    </row>
    <row r="1516" spans="3:16" x14ac:dyDescent="0.25">
      <c r="C1516" s="12"/>
      <c r="G1516" s="5"/>
      <c r="P1516" s="5"/>
    </row>
    <row r="1517" spans="3:16" x14ac:dyDescent="0.25">
      <c r="C1517" s="12"/>
      <c r="G1517" s="5"/>
      <c r="P1517" s="5"/>
    </row>
    <row r="1518" spans="3:16" x14ac:dyDescent="0.25">
      <c r="C1518" s="12"/>
      <c r="G1518" s="5"/>
      <c r="P1518" s="5"/>
    </row>
    <row r="1519" spans="3:16" x14ac:dyDescent="0.25">
      <c r="C1519" s="12"/>
      <c r="G1519" s="5"/>
      <c r="P1519" s="5"/>
    </row>
    <row r="1520" spans="3:16" x14ac:dyDescent="0.25">
      <c r="C1520" s="12"/>
      <c r="G1520" s="5"/>
      <c r="P1520" s="5"/>
    </row>
    <row r="1521" spans="3:16" x14ac:dyDescent="0.25">
      <c r="C1521" s="12"/>
      <c r="G1521" s="5"/>
      <c r="P1521" s="5"/>
    </row>
    <row r="1522" spans="3:16" x14ac:dyDescent="0.25">
      <c r="C1522" s="12"/>
      <c r="G1522" s="5"/>
      <c r="P1522" s="5"/>
    </row>
    <row r="1523" spans="3:16" x14ac:dyDescent="0.25">
      <c r="C1523" s="12"/>
      <c r="G1523" s="5"/>
      <c r="P1523" s="5"/>
    </row>
    <row r="1524" spans="3:16" x14ac:dyDescent="0.25">
      <c r="C1524" s="12"/>
      <c r="G1524" s="5"/>
      <c r="P1524" s="5"/>
    </row>
    <row r="1525" spans="3:16" x14ac:dyDescent="0.25">
      <c r="C1525" s="12"/>
      <c r="G1525" s="5"/>
      <c r="P1525" s="5"/>
    </row>
    <row r="1526" spans="3:16" x14ac:dyDescent="0.25">
      <c r="C1526" s="12"/>
      <c r="G1526" s="5"/>
      <c r="P1526" s="5"/>
    </row>
    <row r="1527" spans="3:16" x14ac:dyDescent="0.25">
      <c r="C1527" s="12"/>
      <c r="G1527" s="5"/>
      <c r="P1527" s="5"/>
    </row>
    <row r="1528" spans="3:16" x14ac:dyDescent="0.25">
      <c r="C1528" s="12"/>
      <c r="G1528" s="5"/>
      <c r="P1528" s="5"/>
    </row>
    <row r="1529" spans="3:16" x14ac:dyDescent="0.25">
      <c r="C1529" s="12"/>
      <c r="G1529" s="5"/>
      <c r="P1529" s="5"/>
    </row>
    <row r="1530" spans="3:16" x14ac:dyDescent="0.25">
      <c r="C1530" s="12"/>
      <c r="G1530" s="5"/>
      <c r="P1530" s="5"/>
    </row>
    <row r="1531" spans="3:16" x14ac:dyDescent="0.25">
      <c r="C1531" s="12"/>
      <c r="G1531" s="5"/>
      <c r="P1531" s="5"/>
    </row>
    <row r="1532" spans="3:16" x14ac:dyDescent="0.25">
      <c r="C1532" s="12"/>
      <c r="G1532" s="5"/>
      <c r="P1532" s="5"/>
    </row>
    <row r="1533" spans="3:16" x14ac:dyDescent="0.25">
      <c r="C1533" s="12"/>
      <c r="G1533" s="5"/>
      <c r="P1533" s="5"/>
    </row>
    <row r="1534" spans="3:16" x14ac:dyDescent="0.25">
      <c r="C1534" s="12"/>
      <c r="G1534" s="5"/>
      <c r="P1534" s="5"/>
    </row>
    <row r="1535" spans="3:16" x14ac:dyDescent="0.25">
      <c r="C1535" s="12"/>
      <c r="G1535" s="5"/>
      <c r="P1535" s="5"/>
    </row>
    <row r="1536" spans="3:16" x14ac:dyDescent="0.25">
      <c r="C1536" s="12"/>
      <c r="G1536" s="5"/>
      <c r="P1536" s="5"/>
    </row>
    <row r="1537" spans="3:16" x14ac:dyDescent="0.25">
      <c r="C1537" s="12"/>
      <c r="G1537" s="5"/>
      <c r="P1537" s="5"/>
    </row>
    <row r="1538" spans="3:16" x14ac:dyDescent="0.25">
      <c r="C1538" s="12"/>
      <c r="G1538" s="5"/>
      <c r="P1538" s="5"/>
    </row>
    <row r="1539" spans="3:16" x14ac:dyDescent="0.25">
      <c r="C1539" s="12"/>
      <c r="G1539" s="5"/>
      <c r="P1539" s="5"/>
    </row>
    <row r="1540" spans="3:16" x14ac:dyDescent="0.25">
      <c r="C1540" s="12"/>
      <c r="G1540" s="5"/>
      <c r="P1540" s="5"/>
    </row>
    <row r="1541" spans="3:16" x14ac:dyDescent="0.25">
      <c r="C1541" s="12"/>
      <c r="G1541" s="5"/>
      <c r="P1541" s="5"/>
    </row>
    <row r="1542" spans="3:16" x14ac:dyDescent="0.25">
      <c r="C1542" s="12"/>
      <c r="G1542" s="5"/>
      <c r="P1542" s="5"/>
    </row>
    <row r="1543" spans="3:16" x14ac:dyDescent="0.25">
      <c r="C1543" s="12"/>
      <c r="G1543" s="5"/>
      <c r="P1543" s="5"/>
    </row>
    <row r="1544" spans="3:16" x14ac:dyDescent="0.25">
      <c r="C1544" s="12"/>
      <c r="G1544" s="5"/>
      <c r="P1544" s="5"/>
    </row>
    <row r="1545" spans="3:16" x14ac:dyDescent="0.25">
      <c r="C1545" s="12"/>
      <c r="G1545" s="5"/>
      <c r="P1545" s="5"/>
    </row>
    <row r="1546" spans="3:16" x14ac:dyDescent="0.25">
      <c r="C1546" s="12"/>
      <c r="G1546" s="5"/>
      <c r="P1546" s="5"/>
    </row>
    <row r="1547" spans="3:16" x14ac:dyDescent="0.25">
      <c r="C1547" s="12"/>
      <c r="G1547" s="5"/>
      <c r="P1547" s="5"/>
    </row>
    <row r="1548" spans="3:16" x14ac:dyDescent="0.25">
      <c r="C1548" s="12"/>
      <c r="G1548" s="5"/>
      <c r="P1548" s="5"/>
    </row>
    <row r="1549" spans="3:16" x14ac:dyDescent="0.25">
      <c r="C1549" s="12"/>
      <c r="G1549" s="5"/>
      <c r="P1549" s="5"/>
    </row>
    <row r="1550" spans="3:16" x14ac:dyDescent="0.25">
      <c r="C1550" s="12"/>
      <c r="G1550" s="5"/>
      <c r="P1550" s="5"/>
    </row>
    <row r="1551" spans="3:16" x14ac:dyDescent="0.25">
      <c r="C1551" s="12"/>
      <c r="G1551" s="5"/>
      <c r="P1551" s="5"/>
    </row>
    <row r="1552" spans="3:16" x14ac:dyDescent="0.25">
      <c r="C1552" s="12"/>
      <c r="G1552" s="5"/>
      <c r="P1552" s="5"/>
    </row>
    <row r="1553" spans="3:16" x14ac:dyDescent="0.25">
      <c r="C1553" s="12"/>
      <c r="G1553" s="5"/>
      <c r="P1553" s="5"/>
    </row>
    <row r="1554" spans="3:16" x14ac:dyDescent="0.25">
      <c r="C1554" s="12"/>
      <c r="G1554" s="5"/>
      <c r="P1554" s="5"/>
    </row>
    <row r="1555" spans="3:16" x14ac:dyDescent="0.25">
      <c r="C1555" s="12"/>
      <c r="G1555" s="5"/>
      <c r="P1555" s="5"/>
    </row>
    <row r="1556" spans="3:16" x14ac:dyDescent="0.25">
      <c r="C1556" s="12"/>
      <c r="G1556" s="5"/>
      <c r="P1556" s="5"/>
    </row>
    <row r="1557" spans="3:16" x14ac:dyDescent="0.25">
      <c r="C1557" s="12"/>
      <c r="G1557" s="5"/>
      <c r="P1557" s="5"/>
    </row>
    <row r="1558" spans="3:16" x14ac:dyDescent="0.25">
      <c r="C1558" s="12"/>
      <c r="G1558" s="5"/>
      <c r="P1558" s="5"/>
    </row>
    <row r="1559" spans="3:16" x14ac:dyDescent="0.25">
      <c r="C1559" s="12"/>
      <c r="G1559" s="5"/>
      <c r="P1559" s="5"/>
    </row>
    <row r="1560" spans="3:16" x14ac:dyDescent="0.25">
      <c r="C1560" s="12"/>
      <c r="G1560" s="5"/>
      <c r="P1560" s="5"/>
    </row>
    <row r="1561" spans="3:16" x14ac:dyDescent="0.25">
      <c r="C1561" s="12"/>
      <c r="G1561" s="5"/>
      <c r="P1561" s="5"/>
    </row>
    <row r="1562" spans="3:16" x14ac:dyDescent="0.25">
      <c r="C1562" s="12"/>
      <c r="G1562" s="5"/>
      <c r="P1562" s="5"/>
    </row>
    <row r="1563" spans="3:16" x14ac:dyDescent="0.25">
      <c r="C1563" s="12"/>
      <c r="G1563" s="5"/>
      <c r="P1563" s="5"/>
    </row>
    <row r="1564" spans="3:16" x14ac:dyDescent="0.25">
      <c r="C1564" s="12"/>
      <c r="G1564" s="5"/>
      <c r="P1564" s="5"/>
    </row>
    <row r="1565" spans="3:16" x14ac:dyDescent="0.25">
      <c r="C1565" s="12"/>
      <c r="G1565" s="5"/>
      <c r="P1565" s="5"/>
    </row>
    <row r="1566" spans="3:16" x14ac:dyDescent="0.25">
      <c r="C1566" s="12"/>
      <c r="G1566" s="5"/>
      <c r="P1566" s="5"/>
    </row>
    <row r="1567" spans="3:16" x14ac:dyDescent="0.25">
      <c r="C1567" s="12"/>
      <c r="G1567" s="5"/>
      <c r="P1567" s="5"/>
    </row>
    <row r="1568" spans="3:16" x14ac:dyDescent="0.25">
      <c r="C1568" s="12"/>
      <c r="G1568" s="5"/>
      <c r="P1568" s="5"/>
    </row>
    <row r="1569" spans="3:16" x14ac:dyDescent="0.25">
      <c r="C1569" s="12"/>
      <c r="G1569" s="5"/>
      <c r="P1569" s="5"/>
    </row>
    <row r="1570" spans="3:16" x14ac:dyDescent="0.25">
      <c r="C1570" s="12"/>
      <c r="G1570" s="5"/>
      <c r="P1570" s="5"/>
    </row>
    <row r="1571" spans="3:16" x14ac:dyDescent="0.25">
      <c r="C1571" s="12"/>
      <c r="G1571" s="5"/>
      <c r="P1571" s="5"/>
    </row>
    <row r="1572" spans="3:16" x14ac:dyDescent="0.25">
      <c r="C1572" s="12"/>
      <c r="G1572" s="5"/>
      <c r="P1572" s="5"/>
    </row>
    <row r="1573" spans="3:16" x14ac:dyDescent="0.25">
      <c r="C1573" s="12"/>
      <c r="G1573" s="5"/>
      <c r="P1573" s="5"/>
    </row>
    <row r="1574" spans="3:16" x14ac:dyDescent="0.25">
      <c r="C1574" s="12"/>
      <c r="G1574" s="5"/>
      <c r="P1574" s="5"/>
    </row>
    <row r="1575" spans="3:16" x14ac:dyDescent="0.25">
      <c r="C1575" s="12"/>
      <c r="G1575" s="5"/>
      <c r="P1575" s="5"/>
    </row>
    <row r="1576" spans="3:16" x14ac:dyDescent="0.25">
      <c r="C1576" s="12"/>
      <c r="G1576" s="5"/>
      <c r="P1576" s="5"/>
    </row>
    <row r="1577" spans="3:16" x14ac:dyDescent="0.25">
      <c r="C1577" s="12"/>
      <c r="G1577" s="5"/>
      <c r="P1577" s="5"/>
    </row>
    <row r="1578" spans="3:16" x14ac:dyDescent="0.25">
      <c r="C1578" s="12"/>
      <c r="G1578" s="5"/>
      <c r="P1578" s="5"/>
    </row>
    <row r="1579" spans="3:16" x14ac:dyDescent="0.25">
      <c r="C1579" s="12"/>
      <c r="G1579" s="5"/>
      <c r="P1579" s="5"/>
    </row>
    <row r="1580" spans="3:16" x14ac:dyDescent="0.25">
      <c r="C1580" s="12"/>
      <c r="G1580" s="5"/>
      <c r="P1580" s="5"/>
    </row>
    <row r="1581" spans="3:16" x14ac:dyDescent="0.25">
      <c r="C1581" s="12"/>
      <c r="G1581" s="5"/>
      <c r="P1581" s="5"/>
    </row>
    <row r="1582" spans="3:16" x14ac:dyDescent="0.25">
      <c r="C1582" s="12"/>
      <c r="G1582" s="5"/>
      <c r="P1582" s="5"/>
    </row>
    <row r="1583" spans="3:16" x14ac:dyDescent="0.25">
      <c r="C1583" s="12"/>
      <c r="G1583" s="5"/>
      <c r="P1583" s="5"/>
    </row>
    <row r="1584" spans="3:16" x14ac:dyDescent="0.25">
      <c r="C1584" s="12"/>
      <c r="G1584" s="5"/>
      <c r="P1584" s="5"/>
    </row>
    <row r="1585" spans="3:16" x14ac:dyDescent="0.25">
      <c r="C1585" s="12"/>
      <c r="G1585" s="5"/>
      <c r="P1585" s="5"/>
    </row>
    <row r="1586" spans="3:16" x14ac:dyDescent="0.25">
      <c r="C1586" s="12"/>
      <c r="G1586" s="5"/>
      <c r="P1586" s="5"/>
    </row>
    <row r="1587" spans="3:16" x14ac:dyDescent="0.25">
      <c r="C1587" s="12"/>
      <c r="G1587" s="5"/>
      <c r="P1587" s="5"/>
    </row>
    <row r="1588" spans="3:16" x14ac:dyDescent="0.25">
      <c r="C1588" s="12"/>
      <c r="G1588" s="5"/>
      <c r="P1588" s="5"/>
    </row>
    <row r="1589" spans="3:16" x14ac:dyDescent="0.25">
      <c r="C1589" s="12"/>
      <c r="G1589" s="5"/>
      <c r="P1589" s="5"/>
    </row>
    <row r="1590" spans="3:16" x14ac:dyDescent="0.25">
      <c r="C1590" s="12"/>
      <c r="G1590" s="5"/>
      <c r="P1590" s="5"/>
    </row>
    <row r="1591" spans="3:16" x14ac:dyDescent="0.25">
      <c r="C1591" s="12"/>
      <c r="G1591" s="5"/>
      <c r="P1591" s="5"/>
    </row>
    <row r="1592" spans="3:16" x14ac:dyDescent="0.25">
      <c r="C1592" s="12"/>
      <c r="G1592" s="5"/>
      <c r="P1592" s="5"/>
    </row>
    <row r="1593" spans="3:16" x14ac:dyDescent="0.25">
      <c r="C1593" s="12"/>
      <c r="G1593" s="5"/>
      <c r="P1593" s="5"/>
    </row>
    <row r="1594" spans="3:16" x14ac:dyDescent="0.25">
      <c r="C1594" s="12"/>
      <c r="G1594" s="5"/>
      <c r="P1594" s="5"/>
    </row>
    <row r="1595" spans="3:16" x14ac:dyDescent="0.25">
      <c r="C1595" s="12"/>
      <c r="G1595" s="5"/>
      <c r="P1595" s="5"/>
    </row>
    <row r="1596" spans="3:16" x14ac:dyDescent="0.25">
      <c r="C1596" s="12"/>
      <c r="G1596" s="5"/>
      <c r="P1596" s="5"/>
    </row>
    <row r="1597" spans="3:16" x14ac:dyDescent="0.25">
      <c r="C1597" s="12"/>
      <c r="G1597" s="5"/>
      <c r="P1597" s="5"/>
    </row>
    <row r="1598" spans="3:16" x14ac:dyDescent="0.25">
      <c r="C1598" s="12"/>
      <c r="G1598" s="5"/>
      <c r="P1598" s="5"/>
    </row>
    <row r="1599" spans="3:16" x14ac:dyDescent="0.25">
      <c r="C1599" s="12"/>
      <c r="G1599" s="5"/>
      <c r="P1599" s="5"/>
    </row>
    <row r="1600" spans="3:16" x14ac:dyDescent="0.25">
      <c r="C1600" s="12"/>
      <c r="G1600" s="5"/>
      <c r="P1600" s="5"/>
    </row>
    <row r="1601" spans="3:16" x14ac:dyDescent="0.25">
      <c r="C1601" s="12"/>
      <c r="G1601" s="5"/>
      <c r="P1601" s="5"/>
    </row>
    <row r="1602" spans="3:16" x14ac:dyDescent="0.25">
      <c r="C1602" s="12"/>
      <c r="G1602" s="5"/>
      <c r="P1602" s="5"/>
    </row>
    <row r="1603" spans="3:16" x14ac:dyDescent="0.25">
      <c r="C1603" s="12"/>
      <c r="G1603" s="5"/>
      <c r="P1603" s="5"/>
    </row>
    <row r="1604" spans="3:16" x14ac:dyDescent="0.25">
      <c r="C1604" s="12"/>
      <c r="G1604" s="5"/>
      <c r="P1604" s="5"/>
    </row>
    <row r="1605" spans="3:16" x14ac:dyDescent="0.25">
      <c r="C1605" s="12"/>
      <c r="G1605" s="5"/>
      <c r="P1605" s="5"/>
    </row>
    <row r="1606" spans="3:16" x14ac:dyDescent="0.25">
      <c r="C1606" s="12"/>
      <c r="G1606" s="5"/>
      <c r="P1606" s="5"/>
    </row>
    <row r="1607" spans="3:16" x14ac:dyDescent="0.25">
      <c r="C1607" s="12"/>
      <c r="G1607" s="5"/>
      <c r="P1607" s="5"/>
    </row>
    <row r="1608" spans="3:16" x14ac:dyDescent="0.25">
      <c r="C1608" s="12"/>
      <c r="G1608" s="5"/>
      <c r="P1608" s="5"/>
    </row>
    <row r="1609" spans="3:16" x14ac:dyDescent="0.25">
      <c r="C1609" s="12"/>
      <c r="G1609" s="5"/>
      <c r="P1609" s="5"/>
    </row>
    <row r="1610" spans="3:16" x14ac:dyDescent="0.25">
      <c r="C1610" s="12"/>
      <c r="G1610" s="5"/>
      <c r="P1610" s="5"/>
    </row>
    <row r="1611" spans="3:16" x14ac:dyDescent="0.25">
      <c r="C1611" s="12"/>
      <c r="G1611" s="5"/>
      <c r="P1611" s="5"/>
    </row>
    <row r="1612" spans="3:16" x14ac:dyDescent="0.25">
      <c r="C1612" s="12"/>
      <c r="G1612" s="5"/>
      <c r="P1612" s="5"/>
    </row>
    <row r="1613" spans="3:16" x14ac:dyDescent="0.25">
      <c r="C1613" s="12"/>
      <c r="G1613" s="5"/>
      <c r="P1613" s="5"/>
    </row>
    <row r="1614" spans="3:16" x14ac:dyDescent="0.25">
      <c r="C1614" s="12"/>
      <c r="G1614" s="5"/>
      <c r="P1614" s="5"/>
    </row>
    <row r="1615" spans="3:16" x14ac:dyDescent="0.25">
      <c r="C1615" s="12"/>
      <c r="G1615" s="5"/>
      <c r="P1615" s="5"/>
    </row>
    <row r="1616" spans="3:16" x14ac:dyDescent="0.25">
      <c r="C1616" s="12"/>
      <c r="G1616" s="5"/>
      <c r="P1616" s="5"/>
    </row>
    <row r="1617" spans="3:16" x14ac:dyDescent="0.25">
      <c r="C1617" s="12"/>
      <c r="G1617" s="5"/>
      <c r="P1617" s="5"/>
    </row>
    <row r="1618" spans="3:16" x14ac:dyDescent="0.25">
      <c r="C1618" s="12"/>
      <c r="G1618" s="5"/>
      <c r="P1618" s="5"/>
    </row>
    <row r="1619" spans="3:16" x14ac:dyDescent="0.25">
      <c r="C1619" s="12"/>
      <c r="G1619" s="5"/>
      <c r="P1619" s="5"/>
    </row>
    <row r="1620" spans="3:16" x14ac:dyDescent="0.25">
      <c r="C1620" s="12"/>
      <c r="G1620" s="5"/>
      <c r="P1620" s="5"/>
    </row>
    <row r="1621" spans="3:16" x14ac:dyDescent="0.25">
      <c r="C1621" s="12"/>
      <c r="G1621" s="5"/>
      <c r="P1621" s="5"/>
    </row>
    <row r="1622" spans="3:16" x14ac:dyDescent="0.25">
      <c r="C1622" s="12"/>
      <c r="G1622" s="5"/>
      <c r="P1622" s="5"/>
    </row>
    <row r="1623" spans="3:16" x14ac:dyDescent="0.25">
      <c r="C1623" s="12"/>
      <c r="G1623" s="5"/>
      <c r="P1623" s="5"/>
    </row>
    <row r="1624" spans="3:16" x14ac:dyDescent="0.25">
      <c r="C1624" s="12"/>
      <c r="G1624" s="5"/>
      <c r="P1624" s="5"/>
    </row>
    <row r="1625" spans="3:16" x14ac:dyDescent="0.25">
      <c r="C1625" s="12"/>
      <c r="G1625" s="5"/>
      <c r="P1625" s="5"/>
    </row>
    <row r="1626" spans="3:16" x14ac:dyDescent="0.25">
      <c r="C1626" s="12"/>
      <c r="G1626" s="5"/>
      <c r="P1626" s="5"/>
    </row>
    <row r="1627" spans="3:16" x14ac:dyDescent="0.25">
      <c r="C1627" s="12"/>
      <c r="G1627" s="5"/>
      <c r="P1627" s="5"/>
    </row>
    <row r="1628" spans="3:16" x14ac:dyDescent="0.25">
      <c r="C1628" s="12"/>
      <c r="G1628" s="5"/>
      <c r="P1628" s="5"/>
    </row>
    <row r="1629" spans="3:16" x14ac:dyDescent="0.25">
      <c r="C1629" s="12"/>
      <c r="G1629" s="5"/>
      <c r="P1629" s="5"/>
    </row>
    <row r="1630" spans="3:16" x14ac:dyDescent="0.25">
      <c r="C1630" s="12"/>
      <c r="G1630" s="5"/>
      <c r="P1630" s="5"/>
    </row>
    <row r="1631" spans="3:16" x14ac:dyDescent="0.25">
      <c r="C1631" s="12"/>
      <c r="G1631" s="5"/>
      <c r="P1631" s="5"/>
    </row>
    <row r="1632" spans="3:16" x14ac:dyDescent="0.25">
      <c r="C1632" s="12"/>
      <c r="G1632" s="5"/>
      <c r="P1632" s="5"/>
    </row>
    <row r="1633" spans="3:16" x14ac:dyDescent="0.25">
      <c r="C1633" s="12"/>
      <c r="G1633" s="5"/>
      <c r="P1633" s="5"/>
    </row>
    <row r="1634" spans="3:16" x14ac:dyDescent="0.25">
      <c r="C1634" s="12"/>
      <c r="G1634" s="5"/>
      <c r="P1634" s="5"/>
    </row>
    <row r="1635" spans="3:16" x14ac:dyDescent="0.25">
      <c r="C1635" s="12"/>
      <c r="G1635" s="5"/>
      <c r="P1635" s="5"/>
    </row>
    <row r="1636" spans="3:16" x14ac:dyDescent="0.25">
      <c r="C1636" s="12"/>
      <c r="G1636" s="5"/>
      <c r="P1636" s="5"/>
    </row>
    <row r="1637" spans="3:16" x14ac:dyDescent="0.25">
      <c r="C1637" s="12"/>
      <c r="G1637" s="5"/>
      <c r="P1637" s="5"/>
    </row>
    <row r="1638" spans="3:16" x14ac:dyDescent="0.25">
      <c r="C1638" s="12"/>
      <c r="G1638" s="5"/>
      <c r="P1638" s="5"/>
    </row>
    <row r="1639" spans="3:16" x14ac:dyDescent="0.25">
      <c r="C1639" s="12"/>
      <c r="G1639" s="5"/>
      <c r="P1639" s="5"/>
    </row>
    <row r="1640" spans="3:16" x14ac:dyDescent="0.25">
      <c r="C1640" s="12"/>
      <c r="G1640" s="5"/>
      <c r="P1640" s="5"/>
    </row>
    <row r="1641" spans="3:16" x14ac:dyDescent="0.25">
      <c r="C1641" s="12"/>
      <c r="G1641" s="5"/>
      <c r="P1641" s="5"/>
    </row>
    <row r="1642" spans="3:16" x14ac:dyDescent="0.25">
      <c r="C1642" s="12"/>
      <c r="G1642" s="5"/>
      <c r="P1642" s="5"/>
    </row>
    <row r="1643" spans="3:16" x14ac:dyDescent="0.25">
      <c r="C1643" s="12"/>
      <c r="G1643" s="5"/>
      <c r="P1643" s="5"/>
    </row>
    <row r="1644" spans="3:16" x14ac:dyDescent="0.25">
      <c r="C1644" s="12"/>
      <c r="G1644" s="5"/>
      <c r="P1644" s="5"/>
    </row>
    <row r="1645" spans="3:16" x14ac:dyDescent="0.25">
      <c r="C1645" s="12"/>
      <c r="G1645" s="5"/>
      <c r="P1645" s="5"/>
    </row>
    <row r="1646" spans="3:16" x14ac:dyDescent="0.25">
      <c r="C1646" s="12"/>
      <c r="G1646" s="5"/>
      <c r="P1646" s="5"/>
    </row>
    <row r="1647" spans="3:16" x14ac:dyDescent="0.25">
      <c r="C1647" s="12"/>
      <c r="G1647" s="5"/>
      <c r="P1647" s="5"/>
    </row>
    <row r="1648" spans="3:16" x14ac:dyDescent="0.25">
      <c r="C1648" s="12"/>
      <c r="G1648" s="5"/>
      <c r="P1648" s="5"/>
    </row>
    <row r="1649" spans="3:16" x14ac:dyDescent="0.25">
      <c r="C1649" s="12"/>
      <c r="G1649" s="5"/>
      <c r="P1649" s="5"/>
    </row>
    <row r="1650" spans="3:16" x14ac:dyDescent="0.25">
      <c r="C1650" s="12"/>
      <c r="G1650" s="5"/>
      <c r="P1650" s="5"/>
    </row>
    <row r="1651" spans="3:16" x14ac:dyDescent="0.25">
      <c r="C1651" s="12"/>
      <c r="G1651" s="5"/>
      <c r="P1651" s="5"/>
    </row>
    <row r="1652" spans="3:16" x14ac:dyDescent="0.25">
      <c r="C1652" s="12"/>
      <c r="G1652" s="5"/>
      <c r="P1652" s="5"/>
    </row>
    <row r="1653" spans="3:16" x14ac:dyDescent="0.25">
      <c r="C1653" s="12"/>
      <c r="G1653" s="5"/>
      <c r="P1653" s="5"/>
    </row>
    <row r="1654" spans="3:16" x14ac:dyDescent="0.25">
      <c r="C1654" s="12"/>
      <c r="G1654" s="5"/>
      <c r="P1654" s="5"/>
    </row>
    <row r="1655" spans="3:16" x14ac:dyDescent="0.25">
      <c r="C1655" s="12"/>
      <c r="G1655" s="5"/>
      <c r="P1655" s="5"/>
    </row>
    <row r="1656" spans="3:16" x14ac:dyDescent="0.25">
      <c r="C1656" s="12"/>
      <c r="G1656" s="5"/>
      <c r="P1656" s="5"/>
    </row>
    <row r="1657" spans="3:16" x14ac:dyDescent="0.25">
      <c r="C1657" s="12"/>
      <c r="G1657" s="5"/>
      <c r="P1657" s="5"/>
    </row>
    <row r="1658" spans="3:16" x14ac:dyDescent="0.25">
      <c r="C1658" s="12"/>
      <c r="G1658" s="5"/>
      <c r="P1658" s="5"/>
    </row>
    <row r="1659" spans="3:16" x14ac:dyDescent="0.25">
      <c r="C1659" s="12"/>
      <c r="G1659" s="5"/>
      <c r="P1659" s="5"/>
    </row>
    <row r="1660" spans="3:16" x14ac:dyDescent="0.25">
      <c r="C1660" s="12"/>
      <c r="G1660" s="5"/>
      <c r="P1660" s="5"/>
    </row>
    <row r="1661" spans="3:16" x14ac:dyDescent="0.25">
      <c r="C1661" s="12"/>
      <c r="G1661" s="5"/>
      <c r="P1661" s="5"/>
    </row>
    <row r="1662" spans="3:16" x14ac:dyDescent="0.25">
      <c r="C1662" s="12"/>
      <c r="G1662" s="5"/>
      <c r="P1662" s="5"/>
    </row>
    <row r="1663" spans="3:16" x14ac:dyDescent="0.25">
      <c r="C1663" s="12"/>
      <c r="G1663" s="5"/>
      <c r="P1663" s="5"/>
    </row>
    <row r="1664" spans="3:16" x14ac:dyDescent="0.25">
      <c r="C1664" s="12"/>
      <c r="G1664" s="5"/>
      <c r="P1664" s="5"/>
    </row>
    <row r="1665" spans="3:16" x14ac:dyDescent="0.25">
      <c r="C1665" s="12"/>
      <c r="G1665" s="5"/>
      <c r="P1665" s="5"/>
    </row>
    <row r="1666" spans="3:16" x14ac:dyDescent="0.25">
      <c r="C1666" s="12"/>
      <c r="G1666" s="5"/>
      <c r="P1666" s="5"/>
    </row>
    <row r="1667" spans="3:16" x14ac:dyDescent="0.25">
      <c r="C1667" s="12"/>
      <c r="G1667" s="5"/>
      <c r="P1667" s="5"/>
    </row>
    <row r="1668" spans="3:16" x14ac:dyDescent="0.25">
      <c r="C1668" s="12"/>
      <c r="G1668" s="5"/>
      <c r="P1668" s="5"/>
    </row>
    <row r="1669" spans="3:16" x14ac:dyDescent="0.25">
      <c r="C1669" s="12"/>
      <c r="G1669" s="5"/>
      <c r="P1669" s="5"/>
    </row>
    <row r="1670" spans="3:16" x14ac:dyDescent="0.25">
      <c r="C1670" s="12"/>
      <c r="G1670" s="5"/>
      <c r="P1670" s="5"/>
    </row>
    <row r="1671" spans="3:16" x14ac:dyDescent="0.25">
      <c r="C1671" s="12"/>
      <c r="G1671" s="5"/>
      <c r="P1671" s="5"/>
    </row>
    <row r="1672" spans="3:16" x14ac:dyDescent="0.25">
      <c r="C1672" s="12"/>
      <c r="G1672" s="5"/>
      <c r="P1672" s="5"/>
    </row>
    <row r="1673" spans="3:16" x14ac:dyDescent="0.25">
      <c r="C1673" s="12"/>
      <c r="G1673" s="5"/>
      <c r="P1673" s="5"/>
    </row>
    <row r="1674" spans="3:16" x14ac:dyDescent="0.25">
      <c r="C1674" s="12"/>
      <c r="G1674" s="5"/>
      <c r="P1674" s="5"/>
    </row>
    <row r="1675" spans="3:16" x14ac:dyDescent="0.25">
      <c r="C1675" s="12"/>
      <c r="G1675" s="5"/>
      <c r="P1675" s="5"/>
    </row>
    <row r="1676" spans="3:16" x14ac:dyDescent="0.25">
      <c r="C1676" s="12"/>
      <c r="G1676" s="5"/>
      <c r="P1676" s="5"/>
    </row>
    <row r="1677" spans="3:16" x14ac:dyDescent="0.25">
      <c r="C1677" s="12"/>
      <c r="G1677" s="5"/>
      <c r="P1677" s="5"/>
    </row>
    <row r="1678" spans="3:16" x14ac:dyDescent="0.25">
      <c r="C1678" s="12"/>
      <c r="G1678" s="5"/>
      <c r="P1678" s="5"/>
    </row>
    <row r="1679" spans="3:16" x14ac:dyDescent="0.25">
      <c r="C1679" s="12"/>
      <c r="G1679" s="5"/>
      <c r="P1679" s="5"/>
    </row>
    <row r="1680" spans="3:16" x14ac:dyDescent="0.25">
      <c r="C1680" s="12"/>
      <c r="G1680" s="5"/>
      <c r="P1680" s="5"/>
    </row>
    <row r="1681" spans="3:16" x14ac:dyDescent="0.25">
      <c r="C1681" s="12"/>
      <c r="G1681" s="5"/>
      <c r="P1681" s="5"/>
    </row>
    <row r="1682" spans="3:16" x14ac:dyDescent="0.25">
      <c r="C1682" s="12"/>
      <c r="G1682" s="5"/>
      <c r="P1682" s="5"/>
    </row>
    <row r="1683" spans="3:16" x14ac:dyDescent="0.25">
      <c r="C1683" s="12"/>
      <c r="G1683" s="5"/>
      <c r="P1683" s="5"/>
    </row>
    <row r="1684" spans="3:16" x14ac:dyDescent="0.25">
      <c r="C1684" s="12"/>
      <c r="G1684" s="5"/>
      <c r="P1684" s="5"/>
    </row>
    <row r="1685" spans="3:16" x14ac:dyDescent="0.25">
      <c r="C1685" s="12"/>
      <c r="G1685" s="5"/>
      <c r="P1685" s="5"/>
    </row>
    <row r="1686" spans="3:16" x14ac:dyDescent="0.25">
      <c r="C1686" s="12"/>
      <c r="G1686" s="5"/>
      <c r="P1686" s="5"/>
    </row>
    <row r="1687" spans="3:16" x14ac:dyDescent="0.25">
      <c r="C1687" s="12"/>
      <c r="G1687" s="5"/>
      <c r="P1687" s="5"/>
    </row>
    <row r="1688" spans="3:16" x14ac:dyDescent="0.25">
      <c r="C1688" s="12"/>
      <c r="G1688" s="5"/>
      <c r="P1688" s="5"/>
    </row>
    <row r="1689" spans="3:16" x14ac:dyDescent="0.25">
      <c r="C1689" s="12"/>
      <c r="G1689" s="5"/>
      <c r="P1689" s="5"/>
    </row>
    <row r="1690" spans="3:16" x14ac:dyDescent="0.25">
      <c r="C1690" s="12"/>
      <c r="G1690" s="5"/>
      <c r="P1690" s="5"/>
    </row>
    <row r="1691" spans="3:16" x14ac:dyDescent="0.25">
      <c r="C1691" s="12"/>
      <c r="G1691" s="5"/>
      <c r="P1691" s="5"/>
    </row>
    <row r="1692" spans="3:16" x14ac:dyDescent="0.25">
      <c r="C1692" s="12"/>
      <c r="G1692" s="5"/>
      <c r="P1692" s="5"/>
    </row>
    <row r="1693" spans="3:16" x14ac:dyDescent="0.25">
      <c r="C1693" s="12"/>
      <c r="G1693" s="5"/>
      <c r="P1693" s="5"/>
    </row>
    <row r="1694" spans="3:16" x14ac:dyDescent="0.25">
      <c r="C1694" s="12"/>
      <c r="G1694" s="5"/>
      <c r="P1694" s="5"/>
    </row>
    <row r="1695" spans="3:16" x14ac:dyDescent="0.25">
      <c r="C1695" s="12"/>
      <c r="G1695" s="5"/>
      <c r="P1695" s="5"/>
    </row>
    <row r="1696" spans="3:16" x14ac:dyDescent="0.25">
      <c r="C1696" s="12"/>
      <c r="G1696" s="5"/>
      <c r="P1696" s="5"/>
    </row>
    <row r="1697" spans="3:16" x14ac:dyDescent="0.25">
      <c r="C1697" s="12"/>
      <c r="G1697" s="5"/>
      <c r="P1697" s="5"/>
    </row>
    <row r="1698" spans="3:16" x14ac:dyDescent="0.25">
      <c r="C1698" s="12"/>
      <c r="G1698" s="5"/>
      <c r="P1698" s="5"/>
    </row>
    <row r="1699" spans="3:16" x14ac:dyDescent="0.25">
      <c r="C1699" s="12"/>
      <c r="G1699" s="5"/>
      <c r="P1699" s="5"/>
    </row>
    <row r="1700" spans="3:16" x14ac:dyDescent="0.25">
      <c r="C1700" s="12"/>
      <c r="G1700" s="5"/>
      <c r="P1700" s="5"/>
    </row>
    <row r="1701" spans="3:16" x14ac:dyDescent="0.25">
      <c r="C1701" s="12"/>
      <c r="G1701" s="5"/>
      <c r="P1701" s="5"/>
    </row>
    <row r="1702" spans="3:16" x14ac:dyDescent="0.25">
      <c r="C1702" s="12"/>
      <c r="G1702" s="5"/>
      <c r="P1702" s="5"/>
    </row>
    <row r="1703" spans="3:16" x14ac:dyDescent="0.25">
      <c r="C1703" s="12"/>
      <c r="G1703" s="5"/>
      <c r="P1703" s="5"/>
    </row>
    <row r="1704" spans="3:16" x14ac:dyDescent="0.25">
      <c r="C1704" s="12"/>
      <c r="G1704" s="5"/>
      <c r="P1704" s="5"/>
    </row>
    <row r="1705" spans="3:16" x14ac:dyDescent="0.25">
      <c r="C1705" s="12"/>
      <c r="G1705" s="5"/>
      <c r="P1705" s="5"/>
    </row>
    <row r="1706" spans="3:16" x14ac:dyDescent="0.25">
      <c r="C1706" s="12"/>
      <c r="G1706" s="5"/>
      <c r="P1706" s="5"/>
    </row>
    <row r="1707" spans="3:16" x14ac:dyDescent="0.25">
      <c r="C1707" s="12"/>
      <c r="G1707" s="5"/>
      <c r="P1707" s="5"/>
    </row>
    <row r="1708" spans="3:16" x14ac:dyDescent="0.25">
      <c r="C1708" s="12"/>
      <c r="G1708" s="5"/>
      <c r="P1708" s="5"/>
    </row>
    <row r="1709" spans="3:16" x14ac:dyDescent="0.25">
      <c r="C1709" s="12"/>
      <c r="G1709" s="5"/>
      <c r="P1709" s="5"/>
    </row>
    <row r="1710" spans="3:16" x14ac:dyDescent="0.25">
      <c r="C1710" s="12"/>
      <c r="G1710" s="5"/>
      <c r="P1710" s="5"/>
    </row>
    <row r="1711" spans="3:16" x14ac:dyDescent="0.25">
      <c r="C1711" s="12"/>
      <c r="G1711" s="5"/>
      <c r="P1711" s="5"/>
    </row>
    <row r="1712" spans="3:16" x14ac:dyDescent="0.25">
      <c r="C1712" s="12"/>
      <c r="G1712" s="5"/>
      <c r="P1712" s="5"/>
    </row>
    <row r="1713" spans="3:16" x14ac:dyDescent="0.25">
      <c r="C1713" s="12"/>
      <c r="G1713" s="5"/>
      <c r="P1713" s="5"/>
    </row>
    <row r="1714" spans="3:16" x14ac:dyDescent="0.25">
      <c r="C1714" s="12"/>
      <c r="G1714" s="5"/>
      <c r="P1714" s="5"/>
    </row>
    <row r="1715" spans="3:16" x14ac:dyDescent="0.25">
      <c r="C1715" s="12"/>
      <c r="G1715" s="5"/>
      <c r="P1715" s="5"/>
    </row>
    <row r="1716" spans="3:16" x14ac:dyDescent="0.25">
      <c r="C1716" s="12"/>
      <c r="G1716" s="5"/>
      <c r="P1716" s="5"/>
    </row>
    <row r="1717" spans="3:16" x14ac:dyDescent="0.25">
      <c r="C1717" s="12"/>
      <c r="G1717" s="5"/>
      <c r="P1717" s="5"/>
    </row>
    <row r="1718" spans="3:16" x14ac:dyDescent="0.25">
      <c r="C1718" s="12"/>
      <c r="G1718" s="5"/>
      <c r="P1718" s="5"/>
    </row>
    <row r="1719" spans="3:16" x14ac:dyDescent="0.25">
      <c r="C1719" s="12"/>
      <c r="G1719" s="5"/>
      <c r="P1719" s="5"/>
    </row>
    <row r="1720" spans="3:16" x14ac:dyDescent="0.25">
      <c r="C1720" s="12"/>
      <c r="G1720" s="5"/>
      <c r="P1720" s="5"/>
    </row>
    <row r="1721" spans="3:16" x14ac:dyDescent="0.25">
      <c r="C1721" s="12"/>
      <c r="G1721" s="5"/>
      <c r="P1721" s="5"/>
    </row>
    <row r="1722" spans="3:16" x14ac:dyDescent="0.25">
      <c r="C1722" s="12"/>
      <c r="G1722" s="5"/>
      <c r="P1722" s="5"/>
    </row>
    <row r="1723" spans="3:16" x14ac:dyDescent="0.25">
      <c r="C1723" s="12"/>
      <c r="G1723" s="5"/>
      <c r="P1723" s="5"/>
    </row>
    <row r="1724" spans="3:16" x14ac:dyDescent="0.25">
      <c r="C1724" s="12"/>
      <c r="G1724" s="5"/>
      <c r="P1724" s="5"/>
    </row>
    <row r="1725" spans="3:16" x14ac:dyDescent="0.25">
      <c r="C1725" s="12"/>
      <c r="G1725" s="5"/>
      <c r="P1725" s="5"/>
    </row>
    <row r="1726" spans="3:16" x14ac:dyDescent="0.25">
      <c r="C1726" s="12"/>
      <c r="G1726" s="5"/>
      <c r="P1726" s="5"/>
    </row>
    <row r="1727" spans="3:16" x14ac:dyDescent="0.25">
      <c r="C1727" s="12"/>
      <c r="G1727" s="5"/>
      <c r="P1727" s="5"/>
    </row>
    <row r="1728" spans="3:16" x14ac:dyDescent="0.25">
      <c r="C1728" s="12"/>
      <c r="G1728" s="5"/>
      <c r="P1728" s="5"/>
    </row>
    <row r="1729" spans="3:16" x14ac:dyDescent="0.25">
      <c r="C1729" s="12"/>
      <c r="G1729" s="5"/>
      <c r="P1729" s="5"/>
    </row>
    <row r="1730" spans="3:16" x14ac:dyDescent="0.25">
      <c r="C1730" s="12"/>
      <c r="G1730" s="5"/>
      <c r="P1730" s="5"/>
    </row>
    <row r="1731" spans="3:16" x14ac:dyDescent="0.25">
      <c r="C1731" s="12"/>
      <c r="G1731" s="5"/>
      <c r="P1731" s="5"/>
    </row>
    <row r="1732" spans="3:16" x14ac:dyDescent="0.25">
      <c r="C1732" s="12"/>
      <c r="G1732" s="5"/>
      <c r="P1732" s="5"/>
    </row>
    <row r="1733" spans="3:16" x14ac:dyDescent="0.25">
      <c r="C1733" s="12"/>
      <c r="G1733" s="5"/>
      <c r="P1733" s="5"/>
    </row>
    <row r="1734" spans="3:16" x14ac:dyDescent="0.25">
      <c r="C1734" s="12"/>
      <c r="G1734" s="5"/>
      <c r="P1734" s="5"/>
    </row>
    <row r="1735" spans="3:16" x14ac:dyDescent="0.25">
      <c r="C1735" s="12"/>
      <c r="G1735" s="5"/>
      <c r="P1735" s="5"/>
    </row>
    <row r="1736" spans="3:16" x14ac:dyDescent="0.25">
      <c r="C1736" s="12"/>
      <c r="G1736" s="5"/>
      <c r="P1736" s="5"/>
    </row>
    <row r="1737" spans="3:16" x14ac:dyDescent="0.25">
      <c r="C1737" s="12"/>
      <c r="G1737" s="5"/>
      <c r="P1737" s="5"/>
    </row>
    <row r="1738" spans="3:16" x14ac:dyDescent="0.25">
      <c r="C1738" s="12"/>
      <c r="G1738" s="5"/>
      <c r="P1738" s="5"/>
    </row>
    <row r="1739" spans="3:16" x14ac:dyDescent="0.25">
      <c r="C1739" s="12"/>
      <c r="G1739" s="5"/>
      <c r="P1739" s="5"/>
    </row>
    <row r="1740" spans="3:16" x14ac:dyDescent="0.25">
      <c r="C1740" s="12"/>
      <c r="G1740" s="5"/>
      <c r="P1740" s="5"/>
    </row>
    <row r="1741" spans="3:16" x14ac:dyDescent="0.25">
      <c r="C1741" s="12"/>
      <c r="G1741" s="5"/>
      <c r="P1741" s="5"/>
    </row>
    <row r="1742" spans="3:16" x14ac:dyDescent="0.25">
      <c r="C1742" s="12"/>
      <c r="G1742" s="5"/>
      <c r="P1742" s="5"/>
    </row>
    <row r="1743" spans="3:16" x14ac:dyDescent="0.25">
      <c r="C1743" s="12"/>
      <c r="G1743" s="5"/>
      <c r="P1743" s="5"/>
    </row>
    <row r="1744" spans="3:16" x14ac:dyDescent="0.25">
      <c r="C1744" s="12"/>
      <c r="G1744" s="5"/>
      <c r="P1744" s="5"/>
    </row>
    <row r="1745" spans="3:16" x14ac:dyDescent="0.25">
      <c r="C1745" s="12"/>
      <c r="G1745" s="5"/>
      <c r="P1745" s="5"/>
    </row>
    <row r="1746" spans="3:16" x14ac:dyDescent="0.25">
      <c r="C1746" s="12"/>
      <c r="G1746" s="5"/>
      <c r="P1746" s="5"/>
    </row>
    <row r="1747" spans="3:16" x14ac:dyDescent="0.25">
      <c r="C1747" s="12"/>
      <c r="G1747" s="5"/>
      <c r="P1747" s="5"/>
    </row>
    <row r="1748" spans="3:16" x14ac:dyDescent="0.25">
      <c r="C1748" s="12"/>
      <c r="G1748" s="5"/>
      <c r="P1748" s="5"/>
    </row>
    <row r="1749" spans="3:16" x14ac:dyDescent="0.25">
      <c r="C1749" s="12"/>
      <c r="G1749" s="5"/>
      <c r="P1749" s="5"/>
    </row>
    <row r="1750" spans="3:16" x14ac:dyDescent="0.25">
      <c r="C1750" s="12"/>
      <c r="G1750" s="5"/>
      <c r="P1750" s="5"/>
    </row>
    <row r="1751" spans="3:16" x14ac:dyDescent="0.25">
      <c r="C1751" s="12"/>
      <c r="G1751" s="5"/>
      <c r="P1751" s="5"/>
    </row>
    <row r="1752" spans="3:16" x14ac:dyDescent="0.25">
      <c r="C1752" s="12"/>
      <c r="G1752" s="5"/>
      <c r="P1752" s="5"/>
    </row>
    <row r="1753" spans="3:16" x14ac:dyDescent="0.25">
      <c r="C1753" s="12"/>
      <c r="G1753" s="5"/>
      <c r="P1753" s="5"/>
    </row>
    <row r="1754" spans="3:16" x14ac:dyDescent="0.25">
      <c r="C1754" s="12"/>
      <c r="G1754" s="5"/>
      <c r="P1754" s="5"/>
    </row>
    <row r="1755" spans="3:16" x14ac:dyDescent="0.25">
      <c r="C1755" s="12"/>
      <c r="G1755" s="5"/>
      <c r="P1755" s="5"/>
    </row>
    <row r="1756" spans="3:16" x14ac:dyDescent="0.25">
      <c r="C1756" s="12"/>
      <c r="G1756" s="5"/>
      <c r="P1756" s="5"/>
    </row>
    <row r="1757" spans="3:16" x14ac:dyDescent="0.25">
      <c r="C1757" s="12"/>
      <c r="G1757" s="5"/>
      <c r="P1757" s="5"/>
    </row>
    <row r="1758" spans="3:16" x14ac:dyDescent="0.25">
      <c r="C1758" s="12"/>
      <c r="G1758" s="5"/>
      <c r="P1758" s="5"/>
    </row>
    <row r="1759" spans="3:16" x14ac:dyDescent="0.25">
      <c r="C1759" s="12"/>
      <c r="G1759" s="5"/>
      <c r="P1759" s="5"/>
    </row>
    <row r="1760" spans="3:16" x14ac:dyDescent="0.25">
      <c r="C1760" s="12"/>
      <c r="G1760" s="5"/>
      <c r="P1760" s="5"/>
    </row>
    <row r="1761" spans="3:16" x14ac:dyDescent="0.25">
      <c r="C1761" s="12"/>
      <c r="G1761" s="5"/>
      <c r="P1761" s="5"/>
    </row>
    <row r="1762" spans="3:16" x14ac:dyDescent="0.25">
      <c r="C1762" s="12"/>
      <c r="G1762" s="5"/>
      <c r="P1762" s="5"/>
    </row>
    <row r="1763" spans="3:16" x14ac:dyDescent="0.25">
      <c r="C1763" s="12"/>
      <c r="G1763" s="5"/>
      <c r="P1763" s="5"/>
    </row>
    <row r="1764" spans="3:16" x14ac:dyDescent="0.25">
      <c r="C1764" s="12"/>
      <c r="G1764" s="5"/>
      <c r="P1764" s="5"/>
    </row>
    <row r="1765" spans="3:16" x14ac:dyDescent="0.25">
      <c r="C1765" s="12"/>
      <c r="G1765" s="5"/>
      <c r="P1765" s="5"/>
    </row>
    <row r="1766" spans="3:16" x14ac:dyDescent="0.25">
      <c r="C1766" s="12"/>
      <c r="G1766" s="5"/>
      <c r="P1766" s="5"/>
    </row>
    <row r="1767" spans="3:16" x14ac:dyDescent="0.25">
      <c r="C1767" s="12"/>
      <c r="G1767" s="5"/>
      <c r="P1767" s="5"/>
    </row>
    <row r="1768" spans="3:16" x14ac:dyDescent="0.25">
      <c r="C1768" s="12"/>
      <c r="G1768" s="5"/>
      <c r="P1768" s="5"/>
    </row>
    <row r="1769" spans="3:16" x14ac:dyDescent="0.25">
      <c r="C1769" s="12"/>
      <c r="G1769" s="5"/>
      <c r="P1769" s="5"/>
    </row>
    <row r="1770" spans="3:16" x14ac:dyDescent="0.25">
      <c r="C1770" s="12"/>
      <c r="G1770" s="5"/>
      <c r="P1770" s="5"/>
    </row>
    <row r="1771" spans="3:16" x14ac:dyDescent="0.25">
      <c r="C1771" s="12"/>
      <c r="G1771" s="5"/>
      <c r="P1771" s="5"/>
    </row>
    <row r="1772" spans="3:16" x14ac:dyDescent="0.25">
      <c r="C1772" s="12"/>
      <c r="G1772" s="5"/>
      <c r="P1772" s="5"/>
    </row>
    <row r="1773" spans="3:16" x14ac:dyDescent="0.25">
      <c r="C1773" s="12"/>
      <c r="G1773" s="5"/>
      <c r="P1773" s="5"/>
    </row>
    <row r="1774" spans="3:16" x14ac:dyDescent="0.25">
      <c r="C1774" s="12"/>
      <c r="G1774" s="5"/>
      <c r="P1774" s="5"/>
    </row>
    <row r="1775" spans="3:16" x14ac:dyDescent="0.25">
      <c r="C1775" s="12"/>
      <c r="G1775" s="5"/>
      <c r="P1775" s="5"/>
    </row>
    <row r="1776" spans="3:16" x14ac:dyDescent="0.25">
      <c r="C1776" s="12"/>
      <c r="G1776" s="5"/>
      <c r="P1776" s="5"/>
    </row>
    <row r="1777" spans="3:16" x14ac:dyDescent="0.25">
      <c r="C1777" s="12"/>
      <c r="G1777" s="5"/>
      <c r="P1777" s="5"/>
    </row>
    <row r="1778" spans="3:16" x14ac:dyDescent="0.25">
      <c r="C1778" s="12"/>
      <c r="G1778" s="5"/>
      <c r="P1778" s="5"/>
    </row>
    <row r="1779" spans="3:16" x14ac:dyDescent="0.25">
      <c r="C1779" s="12"/>
      <c r="G1779" s="5"/>
      <c r="P1779" s="5"/>
    </row>
    <row r="1780" spans="3:16" x14ac:dyDescent="0.25">
      <c r="C1780" s="12"/>
      <c r="G1780" s="5"/>
      <c r="P1780" s="5"/>
    </row>
    <row r="1781" spans="3:16" x14ac:dyDescent="0.25">
      <c r="C1781" s="12"/>
      <c r="G1781" s="5"/>
      <c r="P1781" s="5"/>
    </row>
    <row r="1782" spans="3:16" x14ac:dyDescent="0.25">
      <c r="C1782" s="12"/>
      <c r="G1782" s="5"/>
      <c r="P1782" s="5"/>
    </row>
    <row r="1783" spans="3:16" x14ac:dyDescent="0.25">
      <c r="C1783" s="12"/>
      <c r="G1783" s="5"/>
      <c r="P1783" s="5"/>
    </row>
    <row r="1784" spans="3:16" x14ac:dyDescent="0.25">
      <c r="C1784" s="12"/>
      <c r="G1784" s="5"/>
      <c r="P1784" s="5"/>
    </row>
    <row r="1785" spans="3:16" x14ac:dyDescent="0.25">
      <c r="C1785" s="12"/>
      <c r="G1785" s="5"/>
      <c r="P1785" s="5"/>
    </row>
    <row r="1786" spans="3:16" x14ac:dyDescent="0.25">
      <c r="C1786" s="12"/>
      <c r="G1786" s="5"/>
      <c r="P1786" s="5"/>
    </row>
    <row r="1787" spans="3:16" x14ac:dyDescent="0.25">
      <c r="C1787" s="12"/>
      <c r="G1787" s="5"/>
      <c r="P1787" s="5"/>
    </row>
    <row r="1788" spans="3:16" x14ac:dyDescent="0.25">
      <c r="C1788" s="12"/>
      <c r="G1788" s="5"/>
      <c r="P1788" s="5"/>
    </row>
    <row r="1789" spans="3:16" x14ac:dyDescent="0.25">
      <c r="C1789" s="12"/>
      <c r="G1789" s="5"/>
      <c r="P1789" s="5"/>
    </row>
    <row r="1790" spans="3:16" x14ac:dyDescent="0.25">
      <c r="C1790" s="12"/>
      <c r="G1790" s="5"/>
      <c r="P1790" s="5"/>
    </row>
    <row r="1791" spans="3:16" x14ac:dyDescent="0.25">
      <c r="C1791" s="12"/>
      <c r="G1791" s="5"/>
      <c r="P1791" s="5"/>
    </row>
    <row r="1792" spans="3:16" x14ac:dyDescent="0.25">
      <c r="C1792" s="12"/>
      <c r="G1792" s="5"/>
      <c r="P1792" s="5"/>
    </row>
    <row r="1793" spans="3:16" x14ac:dyDescent="0.25">
      <c r="C1793" s="12"/>
      <c r="G1793" s="5"/>
      <c r="P1793" s="5"/>
    </row>
    <row r="1794" spans="3:16" x14ac:dyDescent="0.25">
      <c r="C1794" s="12"/>
      <c r="G1794" s="5"/>
      <c r="P1794" s="5"/>
    </row>
    <row r="1795" spans="3:16" x14ac:dyDescent="0.25">
      <c r="C1795" s="12"/>
      <c r="G1795" s="5"/>
      <c r="P1795" s="5"/>
    </row>
    <row r="1796" spans="3:16" x14ac:dyDescent="0.25">
      <c r="C1796" s="12"/>
      <c r="G1796" s="5"/>
      <c r="P1796" s="5"/>
    </row>
    <row r="1797" spans="3:16" x14ac:dyDescent="0.25">
      <c r="C1797" s="12"/>
      <c r="G1797" s="5"/>
      <c r="P1797" s="5"/>
    </row>
    <row r="1798" spans="3:16" x14ac:dyDescent="0.25">
      <c r="C1798" s="12"/>
      <c r="G1798" s="5"/>
      <c r="P1798" s="5"/>
    </row>
    <row r="1799" spans="3:16" x14ac:dyDescent="0.25">
      <c r="C1799" s="12"/>
      <c r="G1799" s="5"/>
      <c r="P1799" s="5"/>
    </row>
    <row r="1800" spans="3:16" x14ac:dyDescent="0.25">
      <c r="C1800" s="12"/>
      <c r="G1800" s="5"/>
      <c r="P1800" s="5"/>
    </row>
    <row r="1801" spans="3:16" x14ac:dyDescent="0.25">
      <c r="C1801" s="12"/>
      <c r="G1801" s="5"/>
      <c r="P1801" s="5"/>
    </row>
    <row r="1802" spans="3:16" x14ac:dyDescent="0.25">
      <c r="C1802" s="12"/>
      <c r="G1802" s="5"/>
      <c r="P1802" s="5"/>
    </row>
    <row r="1803" spans="3:16" x14ac:dyDescent="0.25">
      <c r="C1803" s="12"/>
      <c r="G1803" s="5"/>
      <c r="P1803" s="5"/>
    </row>
    <row r="1804" spans="3:16" x14ac:dyDescent="0.25">
      <c r="C1804" s="12"/>
      <c r="G1804" s="5"/>
      <c r="P1804" s="5"/>
    </row>
    <row r="1805" spans="3:16" x14ac:dyDescent="0.25">
      <c r="C1805" s="12"/>
      <c r="G1805" s="5"/>
      <c r="P1805" s="5"/>
    </row>
    <row r="1806" spans="3:16" x14ac:dyDescent="0.25">
      <c r="C1806" s="12"/>
      <c r="G1806" s="5"/>
      <c r="P1806" s="5"/>
    </row>
    <row r="1807" spans="3:16" x14ac:dyDescent="0.25">
      <c r="C1807" s="12"/>
      <c r="G1807" s="5"/>
      <c r="P1807" s="5"/>
    </row>
    <row r="1808" spans="3:16" x14ac:dyDescent="0.25">
      <c r="C1808" s="12"/>
      <c r="G1808" s="5"/>
      <c r="P1808" s="5"/>
    </row>
    <row r="1809" spans="3:16" x14ac:dyDescent="0.25">
      <c r="C1809" s="12"/>
      <c r="G1809" s="5"/>
      <c r="P1809" s="5"/>
    </row>
    <row r="1810" spans="3:16" x14ac:dyDescent="0.25">
      <c r="C1810" s="12"/>
      <c r="G1810" s="5"/>
      <c r="P1810" s="5"/>
    </row>
    <row r="1811" spans="3:16" x14ac:dyDescent="0.25">
      <c r="C1811" s="12"/>
      <c r="G1811" s="5"/>
      <c r="P1811" s="5"/>
    </row>
    <row r="1812" spans="3:16" x14ac:dyDescent="0.25">
      <c r="C1812" s="12"/>
      <c r="G1812" s="5"/>
      <c r="P1812" s="5"/>
    </row>
    <row r="1813" spans="3:16" x14ac:dyDescent="0.25">
      <c r="C1813" s="12"/>
      <c r="G1813" s="5"/>
      <c r="P1813" s="5"/>
    </row>
    <row r="1814" spans="3:16" x14ac:dyDescent="0.25">
      <c r="C1814" s="12"/>
      <c r="G1814" s="5"/>
      <c r="P1814" s="5"/>
    </row>
    <row r="1815" spans="3:16" x14ac:dyDescent="0.25">
      <c r="C1815" s="12"/>
      <c r="G1815" s="5"/>
      <c r="P1815" s="5"/>
    </row>
    <row r="1816" spans="3:16" x14ac:dyDescent="0.25">
      <c r="C1816" s="12"/>
      <c r="G1816" s="5"/>
      <c r="P1816" s="5"/>
    </row>
    <row r="1817" spans="3:16" x14ac:dyDescent="0.25">
      <c r="C1817" s="12"/>
      <c r="G1817" s="5"/>
      <c r="P1817" s="5"/>
    </row>
    <row r="1818" spans="3:16" x14ac:dyDescent="0.25">
      <c r="C1818" s="12"/>
      <c r="G1818" s="5"/>
      <c r="P1818" s="5"/>
    </row>
    <row r="1819" spans="3:16" x14ac:dyDescent="0.25">
      <c r="C1819" s="12"/>
      <c r="G1819" s="5"/>
      <c r="P1819" s="5"/>
    </row>
    <row r="1820" spans="3:16" x14ac:dyDescent="0.25">
      <c r="C1820" s="12"/>
      <c r="G1820" s="5"/>
      <c r="P1820" s="5"/>
    </row>
    <row r="1821" spans="3:16" x14ac:dyDescent="0.25">
      <c r="C1821" s="12"/>
      <c r="G1821" s="5"/>
      <c r="P1821" s="5"/>
    </row>
    <row r="1822" spans="3:16" x14ac:dyDescent="0.25">
      <c r="C1822" s="12"/>
      <c r="G1822" s="5"/>
      <c r="P1822" s="5"/>
    </row>
    <row r="1823" spans="3:16" x14ac:dyDescent="0.25">
      <c r="C1823" s="12"/>
      <c r="G1823" s="5"/>
      <c r="P1823" s="5"/>
    </row>
    <row r="1824" spans="3:16" x14ac:dyDescent="0.25">
      <c r="C1824" s="12"/>
      <c r="G1824" s="5"/>
      <c r="P1824" s="5"/>
    </row>
    <row r="1825" spans="3:16" x14ac:dyDescent="0.25">
      <c r="C1825" s="12"/>
      <c r="G1825" s="5"/>
      <c r="P1825" s="5"/>
    </row>
    <row r="1826" spans="3:16" x14ac:dyDescent="0.25">
      <c r="C1826" s="12"/>
      <c r="G1826" s="5"/>
      <c r="P1826" s="5"/>
    </row>
    <row r="1827" spans="3:16" x14ac:dyDescent="0.25">
      <c r="C1827" s="12"/>
      <c r="G1827" s="5"/>
      <c r="P1827" s="5"/>
    </row>
    <row r="1828" spans="3:16" x14ac:dyDescent="0.25">
      <c r="C1828" s="12"/>
      <c r="G1828" s="5"/>
      <c r="P1828" s="5"/>
    </row>
    <row r="1829" spans="3:16" x14ac:dyDescent="0.25">
      <c r="C1829" s="12"/>
      <c r="G1829" s="5"/>
      <c r="P1829" s="5"/>
    </row>
    <row r="1830" spans="3:16" x14ac:dyDescent="0.25">
      <c r="C1830" s="12"/>
      <c r="G1830" s="5"/>
      <c r="P1830" s="5"/>
    </row>
    <row r="1831" spans="3:16" x14ac:dyDescent="0.25">
      <c r="C1831" s="12"/>
      <c r="G1831" s="5"/>
      <c r="P1831" s="5"/>
    </row>
    <row r="1832" spans="3:16" x14ac:dyDescent="0.25">
      <c r="C1832" s="12"/>
      <c r="G1832" s="5"/>
      <c r="P1832" s="5"/>
    </row>
    <row r="1833" spans="3:16" x14ac:dyDescent="0.25">
      <c r="C1833" s="12"/>
      <c r="G1833" s="5"/>
      <c r="P1833" s="5"/>
    </row>
    <row r="1834" spans="3:16" x14ac:dyDescent="0.25">
      <c r="C1834" s="12"/>
      <c r="G1834" s="5"/>
      <c r="P1834" s="5"/>
    </row>
    <row r="1835" spans="3:16" x14ac:dyDescent="0.25">
      <c r="C1835" s="12"/>
      <c r="G1835" s="5"/>
      <c r="P1835" s="5"/>
    </row>
    <row r="1836" spans="3:16" x14ac:dyDescent="0.25">
      <c r="C1836" s="12"/>
      <c r="G1836" s="5"/>
      <c r="P1836" s="5"/>
    </row>
    <row r="1837" spans="3:16" x14ac:dyDescent="0.25">
      <c r="C1837" s="12"/>
      <c r="G1837" s="5"/>
      <c r="P1837" s="5"/>
    </row>
    <row r="1838" spans="3:16" x14ac:dyDescent="0.25">
      <c r="C1838" s="12"/>
      <c r="G1838" s="5"/>
      <c r="P1838" s="5"/>
    </row>
    <row r="1839" spans="3:16" x14ac:dyDescent="0.25">
      <c r="C1839" s="12"/>
      <c r="G1839" s="5"/>
      <c r="P1839" s="5"/>
    </row>
    <row r="1840" spans="3:16" x14ac:dyDescent="0.25">
      <c r="C1840" s="12"/>
      <c r="G1840" s="5"/>
      <c r="P1840" s="5"/>
    </row>
    <row r="1841" spans="3:16" x14ac:dyDescent="0.25">
      <c r="C1841" s="12"/>
      <c r="G1841" s="5"/>
      <c r="P1841" s="5"/>
    </row>
    <row r="1842" spans="3:16" x14ac:dyDescent="0.25">
      <c r="C1842" s="12"/>
      <c r="G1842" s="5"/>
      <c r="P1842" s="5"/>
    </row>
    <row r="1843" spans="3:16" x14ac:dyDescent="0.25">
      <c r="C1843" s="12"/>
      <c r="G1843" s="5"/>
      <c r="P1843" s="5"/>
    </row>
    <row r="1844" spans="3:16" x14ac:dyDescent="0.25">
      <c r="C1844" s="12"/>
      <c r="G1844" s="5"/>
      <c r="P1844" s="5"/>
    </row>
    <row r="1845" spans="3:16" x14ac:dyDescent="0.25">
      <c r="C1845" s="12"/>
      <c r="G1845" s="5"/>
      <c r="P1845" s="5"/>
    </row>
    <row r="1846" spans="3:16" x14ac:dyDescent="0.25">
      <c r="C1846" s="12"/>
      <c r="G1846" s="5"/>
      <c r="P1846" s="5"/>
    </row>
    <row r="1847" spans="3:16" x14ac:dyDescent="0.25">
      <c r="C1847" s="12"/>
      <c r="G1847" s="5"/>
      <c r="P1847" s="5"/>
    </row>
    <row r="1848" spans="3:16" x14ac:dyDescent="0.25">
      <c r="C1848" s="12"/>
      <c r="G1848" s="5"/>
      <c r="P1848" s="5"/>
    </row>
    <row r="1849" spans="3:16" x14ac:dyDescent="0.25">
      <c r="C1849" s="12"/>
      <c r="G1849" s="5"/>
      <c r="P1849" s="5"/>
    </row>
    <row r="1850" spans="3:16" x14ac:dyDescent="0.25">
      <c r="C1850" s="12"/>
      <c r="G1850" s="5"/>
      <c r="P1850" s="5"/>
    </row>
    <row r="1851" spans="3:16" x14ac:dyDescent="0.25">
      <c r="C1851" s="12"/>
      <c r="G1851" s="5"/>
      <c r="P1851" s="5"/>
    </row>
    <row r="1852" spans="3:16" x14ac:dyDescent="0.25">
      <c r="C1852" s="12"/>
      <c r="G1852" s="5"/>
      <c r="P1852" s="5"/>
    </row>
    <row r="1853" spans="3:16" x14ac:dyDescent="0.25">
      <c r="C1853" s="12"/>
      <c r="G1853" s="5"/>
      <c r="P1853" s="5"/>
    </row>
    <row r="1854" spans="3:16" x14ac:dyDescent="0.25">
      <c r="C1854" s="12"/>
      <c r="G1854" s="5"/>
      <c r="P1854" s="5"/>
    </row>
    <row r="1855" spans="3:16" x14ac:dyDescent="0.25">
      <c r="C1855" s="12"/>
      <c r="G1855" s="5"/>
      <c r="P1855" s="5"/>
    </row>
    <row r="1856" spans="3:16" x14ac:dyDescent="0.25">
      <c r="C1856" s="12"/>
      <c r="G1856" s="5"/>
      <c r="P1856" s="5"/>
    </row>
    <row r="1857" spans="3:16" x14ac:dyDescent="0.25">
      <c r="C1857" s="12"/>
      <c r="G1857" s="5"/>
      <c r="P1857" s="5"/>
    </row>
    <row r="1858" spans="3:16" x14ac:dyDescent="0.25">
      <c r="C1858" s="12"/>
      <c r="G1858" s="5"/>
      <c r="P1858" s="5"/>
    </row>
    <row r="1859" spans="3:16" x14ac:dyDescent="0.25">
      <c r="C1859" s="12"/>
      <c r="G1859" s="5"/>
      <c r="P1859" s="5"/>
    </row>
    <row r="1860" spans="3:16" x14ac:dyDescent="0.25">
      <c r="C1860" s="12"/>
      <c r="G1860" s="5"/>
      <c r="P1860" s="5"/>
    </row>
    <row r="1861" spans="3:16" x14ac:dyDescent="0.25">
      <c r="C1861" s="12"/>
      <c r="G1861" s="5"/>
      <c r="P1861" s="5"/>
    </row>
    <row r="1862" spans="3:16" x14ac:dyDescent="0.25">
      <c r="C1862" s="12"/>
      <c r="G1862" s="5"/>
      <c r="P1862" s="5"/>
    </row>
    <row r="1863" spans="3:16" x14ac:dyDescent="0.25">
      <c r="C1863" s="12"/>
      <c r="G1863" s="5"/>
      <c r="P1863" s="5"/>
    </row>
    <row r="1864" spans="3:16" x14ac:dyDescent="0.25">
      <c r="C1864" s="12"/>
      <c r="G1864" s="5"/>
      <c r="P1864" s="5"/>
    </row>
    <row r="1865" spans="3:16" x14ac:dyDescent="0.25">
      <c r="C1865" s="12"/>
      <c r="G1865" s="5"/>
      <c r="P1865" s="5"/>
    </row>
    <row r="1866" spans="3:16" x14ac:dyDescent="0.25">
      <c r="C1866" s="12"/>
      <c r="G1866" s="5"/>
      <c r="P1866" s="5"/>
    </row>
    <row r="1867" spans="3:16" x14ac:dyDescent="0.25">
      <c r="C1867" s="12"/>
      <c r="G1867" s="5"/>
      <c r="P1867" s="5"/>
    </row>
    <row r="1868" spans="3:16" x14ac:dyDescent="0.25">
      <c r="C1868" s="12"/>
      <c r="G1868" s="5"/>
      <c r="P1868" s="5"/>
    </row>
    <row r="1869" spans="3:16" x14ac:dyDescent="0.25">
      <c r="C1869" s="12"/>
      <c r="G1869" s="5"/>
      <c r="P1869" s="5"/>
    </row>
    <row r="1870" spans="3:16" x14ac:dyDescent="0.25">
      <c r="C1870" s="12"/>
      <c r="G1870" s="5"/>
      <c r="P1870" s="5"/>
    </row>
    <row r="1871" spans="3:16" x14ac:dyDescent="0.25">
      <c r="C1871" s="12"/>
      <c r="G1871" s="5"/>
      <c r="P1871" s="5"/>
    </row>
    <row r="1872" spans="3:16" x14ac:dyDescent="0.25">
      <c r="C1872" s="12"/>
      <c r="G1872" s="5"/>
      <c r="P1872" s="5"/>
    </row>
    <row r="1873" spans="3:16" x14ac:dyDescent="0.25">
      <c r="C1873" s="12"/>
      <c r="G1873" s="5"/>
      <c r="P1873" s="5"/>
    </row>
    <row r="1874" spans="3:16" x14ac:dyDescent="0.25">
      <c r="C1874" s="12"/>
      <c r="G1874" s="5"/>
      <c r="P1874" s="5"/>
    </row>
    <row r="1875" spans="3:16" x14ac:dyDescent="0.25">
      <c r="C1875" s="12"/>
      <c r="G1875" s="5"/>
      <c r="P1875" s="5"/>
    </row>
    <row r="1876" spans="3:16" x14ac:dyDescent="0.25">
      <c r="C1876" s="12"/>
      <c r="G1876" s="5"/>
      <c r="P1876" s="5"/>
    </row>
    <row r="1877" spans="3:16" x14ac:dyDescent="0.25">
      <c r="C1877" s="12"/>
      <c r="G1877" s="5"/>
      <c r="P1877" s="5"/>
    </row>
    <row r="1878" spans="3:16" x14ac:dyDescent="0.25">
      <c r="C1878" s="12"/>
      <c r="G1878" s="5"/>
      <c r="P1878" s="5"/>
    </row>
    <row r="1879" spans="3:16" x14ac:dyDescent="0.25">
      <c r="C1879" s="12"/>
      <c r="G1879" s="5"/>
      <c r="P1879" s="5"/>
    </row>
    <row r="1880" spans="3:16" x14ac:dyDescent="0.25">
      <c r="C1880" s="12"/>
      <c r="G1880" s="5"/>
      <c r="P1880" s="5"/>
    </row>
    <row r="1881" spans="3:16" x14ac:dyDescent="0.25">
      <c r="C1881" s="12"/>
      <c r="G1881" s="5"/>
      <c r="P1881" s="5"/>
    </row>
    <row r="1882" spans="3:16" x14ac:dyDescent="0.25">
      <c r="C1882" s="12"/>
      <c r="G1882" s="5"/>
      <c r="P1882" s="5"/>
    </row>
    <row r="1883" spans="3:16" x14ac:dyDescent="0.25">
      <c r="C1883" s="12"/>
      <c r="G1883" s="5"/>
      <c r="P1883" s="5"/>
    </row>
    <row r="1884" spans="3:16" x14ac:dyDescent="0.25">
      <c r="C1884" s="12"/>
      <c r="G1884" s="5"/>
      <c r="P1884" s="5"/>
    </row>
    <row r="1885" spans="3:16" x14ac:dyDescent="0.25">
      <c r="C1885" s="12"/>
      <c r="G1885" s="5"/>
      <c r="P1885" s="5"/>
    </row>
    <row r="1886" spans="3:16" x14ac:dyDescent="0.25">
      <c r="C1886" s="12"/>
      <c r="G1886" s="5"/>
      <c r="P1886" s="5"/>
    </row>
    <row r="1887" spans="3:16" x14ac:dyDescent="0.25">
      <c r="C1887" s="12"/>
      <c r="G1887" s="5"/>
      <c r="P1887" s="5"/>
    </row>
    <row r="1888" spans="3:16" x14ac:dyDescent="0.25">
      <c r="C1888" s="12"/>
      <c r="G1888" s="5"/>
      <c r="P1888" s="5"/>
    </row>
    <row r="1889" spans="3:16" x14ac:dyDescent="0.25">
      <c r="C1889" s="12"/>
      <c r="G1889" s="5"/>
      <c r="P1889" s="5"/>
    </row>
    <row r="1890" spans="3:16" x14ac:dyDescent="0.25">
      <c r="C1890" s="12"/>
      <c r="G1890" s="5"/>
      <c r="P1890" s="5"/>
    </row>
    <row r="1891" spans="3:16" x14ac:dyDescent="0.25">
      <c r="C1891" s="12"/>
      <c r="G1891" s="5"/>
      <c r="P1891" s="5"/>
    </row>
    <row r="1892" spans="3:16" x14ac:dyDescent="0.25">
      <c r="C1892" s="12"/>
      <c r="G1892" s="5"/>
      <c r="P1892" s="5"/>
    </row>
    <row r="1893" spans="3:16" x14ac:dyDescent="0.25">
      <c r="C1893" s="12"/>
      <c r="G1893" s="5"/>
      <c r="P1893" s="5"/>
    </row>
    <row r="1894" spans="3:16" x14ac:dyDescent="0.25">
      <c r="C1894" s="12"/>
      <c r="G1894" s="5"/>
      <c r="P1894" s="5"/>
    </row>
    <row r="1895" spans="3:16" x14ac:dyDescent="0.25">
      <c r="C1895" s="12"/>
      <c r="G1895" s="5"/>
      <c r="P1895" s="5"/>
    </row>
    <row r="1896" spans="3:16" x14ac:dyDescent="0.25">
      <c r="C1896" s="12"/>
      <c r="G1896" s="5"/>
      <c r="P1896" s="5"/>
    </row>
    <row r="1897" spans="3:16" x14ac:dyDescent="0.25">
      <c r="C1897" s="12"/>
      <c r="G1897" s="5"/>
      <c r="P1897" s="5"/>
    </row>
    <row r="1898" spans="3:16" x14ac:dyDescent="0.25">
      <c r="C1898" s="12"/>
      <c r="G1898" s="5"/>
      <c r="P1898" s="5"/>
    </row>
    <row r="1899" spans="3:16" x14ac:dyDescent="0.25">
      <c r="C1899" s="12"/>
      <c r="G1899" s="5"/>
      <c r="P1899" s="5"/>
    </row>
    <row r="1900" spans="3:16" x14ac:dyDescent="0.25">
      <c r="C1900" s="12"/>
      <c r="G1900" s="5"/>
      <c r="P1900" s="5"/>
    </row>
    <row r="1901" spans="3:16" x14ac:dyDescent="0.25">
      <c r="C1901" s="12"/>
      <c r="G1901" s="5"/>
      <c r="P1901" s="5"/>
    </row>
    <row r="1902" spans="3:16" x14ac:dyDescent="0.25">
      <c r="C1902" s="12"/>
      <c r="G1902" s="5"/>
      <c r="P1902" s="5"/>
    </row>
    <row r="1903" spans="3:16" x14ac:dyDescent="0.25">
      <c r="C1903" s="12"/>
      <c r="G1903" s="5"/>
      <c r="P1903" s="5"/>
    </row>
    <row r="1904" spans="3:16" x14ac:dyDescent="0.25">
      <c r="C1904" s="12"/>
      <c r="G1904" s="5"/>
      <c r="P1904" s="5"/>
    </row>
    <row r="1905" spans="3:16" x14ac:dyDescent="0.25">
      <c r="C1905" s="12"/>
      <c r="G1905" s="5"/>
      <c r="P1905" s="5"/>
    </row>
    <row r="1906" spans="3:16" x14ac:dyDescent="0.25">
      <c r="C1906" s="12"/>
      <c r="G1906" s="5"/>
      <c r="P1906" s="5"/>
    </row>
    <row r="1907" spans="3:16" x14ac:dyDescent="0.25">
      <c r="C1907" s="12"/>
      <c r="G1907" s="5"/>
      <c r="P1907" s="5"/>
    </row>
    <row r="1908" spans="3:16" x14ac:dyDescent="0.25">
      <c r="C1908" s="12"/>
      <c r="G1908" s="5"/>
      <c r="P1908" s="5"/>
    </row>
    <row r="1909" spans="3:16" x14ac:dyDescent="0.25">
      <c r="C1909" s="12"/>
      <c r="G1909" s="5"/>
      <c r="P1909" s="5"/>
    </row>
    <row r="1910" spans="3:16" x14ac:dyDescent="0.25">
      <c r="C1910" s="12"/>
      <c r="G1910" s="5"/>
      <c r="P1910" s="5"/>
    </row>
    <row r="1911" spans="3:16" x14ac:dyDescent="0.25">
      <c r="C1911" s="12"/>
      <c r="G1911" s="5"/>
      <c r="P1911" s="5"/>
    </row>
    <row r="1912" spans="3:16" x14ac:dyDescent="0.25">
      <c r="C1912" s="12"/>
      <c r="G1912" s="5"/>
      <c r="P1912" s="5"/>
    </row>
    <row r="1913" spans="3:16" x14ac:dyDescent="0.25">
      <c r="C1913" s="12"/>
      <c r="G1913" s="5"/>
      <c r="P1913" s="5"/>
    </row>
    <row r="1914" spans="3:16" x14ac:dyDescent="0.25">
      <c r="C1914" s="12"/>
      <c r="G1914" s="5"/>
      <c r="P1914" s="5"/>
    </row>
    <row r="1915" spans="3:16" x14ac:dyDescent="0.25">
      <c r="C1915" s="12"/>
      <c r="G1915" s="5"/>
      <c r="P1915" s="5"/>
    </row>
    <row r="1916" spans="3:16" x14ac:dyDescent="0.25">
      <c r="C1916" s="12"/>
      <c r="G1916" s="5"/>
      <c r="P1916" s="5"/>
    </row>
    <row r="1917" spans="3:16" x14ac:dyDescent="0.25">
      <c r="C1917" s="12"/>
      <c r="G1917" s="5"/>
      <c r="P1917" s="5"/>
    </row>
    <row r="1918" spans="3:16" x14ac:dyDescent="0.25">
      <c r="C1918" s="12"/>
      <c r="G1918" s="5"/>
      <c r="P1918" s="5"/>
    </row>
    <row r="1919" spans="3:16" x14ac:dyDescent="0.25">
      <c r="C1919" s="12"/>
      <c r="G1919" s="5"/>
      <c r="P1919" s="5"/>
    </row>
    <row r="1920" spans="3:16" x14ac:dyDescent="0.25">
      <c r="C1920" s="12"/>
      <c r="G1920" s="5"/>
      <c r="P1920" s="5"/>
    </row>
    <row r="1921" spans="3:16" x14ac:dyDescent="0.25">
      <c r="C1921" s="12"/>
      <c r="G1921" s="5"/>
      <c r="P1921" s="5"/>
    </row>
    <row r="1922" spans="3:16" x14ac:dyDescent="0.25">
      <c r="C1922" s="12"/>
      <c r="G1922" s="5"/>
      <c r="P1922" s="5"/>
    </row>
    <row r="1923" spans="3:16" x14ac:dyDescent="0.25">
      <c r="C1923" s="12"/>
      <c r="G1923" s="5"/>
      <c r="P1923" s="5"/>
    </row>
    <row r="1924" spans="3:16" x14ac:dyDescent="0.25">
      <c r="C1924" s="12"/>
      <c r="G1924" s="5"/>
      <c r="P1924" s="5"/>
    </row>
    <row r="1925" spans="3:16" x14ac:dyDescent="0.25">
      <c r="C1925" s="12"/>
      <c r="G1925" s="5"/>
      <c r="P1925" s="5"/>
    </row>
    <row r="1926" spans="3:16" x14ac:dyDescent="0.25">
      <c r="C1926" s="12"/>
      <c r="G1926" s="5"/>
      <c r="P1926" s="5"/>
    </row>
    <row r="1927" spans="3:16" x14ac:dyDescent="0.25">
      <c r="C1927" s="12"/>
      <c r="G1927" s="5"/>
      <c r="P1927" s="5"/>
    </row>
    <row r="1928" spans="3:16" x14ac:dyDescent="0.25">
      <c r="C1928" s="12"/>
      <c r="G1928" s="5"/>
      <c r="P1928" s="5"/>
    </row>
    <row r="1929" spans="3:16" x14ac:dyDescent="0.25">
      <c r="C1929" s="12"/>
      <c r="G1929" s="5"/>
      <c r="P1929" s="5"/>
    </row>
    <row r="1930" spans="3:16" x14ac:dyDescent="0.25">
      <c r="C1930" s="12"/>
      <c r="G1930" s="5"/>
      <c r="P1930" s="5"/>
    </row>
    <row r="1931" spans="3:16" x14ac:dyDescent="0.25">
      <c r="C1931" s="12"/>
      <c r="G1931" s="5"/>
      <c r="P1931" s="5"/>
    </row>
    <row r="1932" spans="3:16" x14ac:dyDescent="0.25">
      <c r="C1932" s="12"/>
      <c r="G1932" s="5"/>
      <c r="P1932" s="5"/>
    </row>
    <row r="1933" spans="3:16" x14ac:dyDescent="0.25">
      <c r="C1933" s="12"/>
      <c r="G1933" s="5"/>
      <c r="P1933" s="5"/>
    </row>
    <row r="1934" spans="3:16" x14ac:dyDescent="0.25">
      <c r="C1934" s="12"/>
      <c r="G1934" s="5"/>
      <c r="P1934" s="5"/>
    </row>
    <row r="1935" spans="3:16" x14ac:dyDescent="0.25">
      <c r="C1935" s="12"/>
      <c r="G1935" s="5"/>
      <c r="P1935" s="5"/>
    </row>
    <row r="1936" spans="3:16" x14ac:dyDescent="0.25">
      <c r="C1936" s="12"/>
      <c r="G1936" s="5"/>
      <c r="P1936" s="5"/>
    </row>
    <row r="1937" spans="3:16" x14ac:dyDescent="0.25">
      <c r="C1937" s="12"/>
      <c r="G1937" s="5"/>
      <c r="P1937" s="5"/>
    </row>
    <row r="1938" spans="3:16" x14ac:dyDescent="0.25">
      <c r="C1938" s="12"/>
      <c r="G1938" s="5"/>
      <c r="P1938" s="5"/>
    </row>
    <row r="1939" spans="3:16" x14ac:dyDescent="0.25">
      <c r="C1939" s="12"/>
      <c r="G1939" s="5"/>
      <c r="P1939" s="5"/>
    </row>
    <row r="1940" spans="3:16" x14ac:dyDescent="0.25">
      <c r="C1940" s="12"/>
      <c r="G1940" s="5"/>
      <c r="P1940" s="5"/>
    </row>
    <row r="1941" spans="3:16" x14ac:dyDescent="0.25">
      <c r="C1941" s="12"/>
      <c r="G1941" s="5"/>
      <c r="P1941" s="5"/>
    </row>
    <row r="1942" spans="3:16" x14ac:dyDescent="0.25">
      <c r="C1942" s="12"/>
      <c r="G1942" s="5"/>
      <c r="P1942" s="5"/>
    </row>
    <row r="1943" spans="3:16" x14ac:dyDescent="0.25">
      <c r="C1943" s="12"/>
      <c r="G1943" s="5"/>
      <c r="P1943" s="5"/>
    </row>
    <row r="1944" spans="3:16" x14ac:dyDescent="0.25">
      <c r="C1944" s="12"/>
      <c r="G1944" s="5"/>
      <c r="P1944" s="5"/>
    </row>
    <row r="1945" spans="3:16" x14ac:dyDescent="0.25">
      <c r="C1945" s="12"/>
      <c r="G1945" s="5"/>
      <c r="P1945" s="5"/>
    </row>
    <row r="1946" spans="3:16" x14ac:dyDescent="0.25">
      <c r="C1946" s="12"/>
      <c r="G1946" s="5"/>
      <c r="P1946" s="5"/>
    </row>
    <row r="1947" spans="3:16" x14ac:dyDescent="0.25">
      <c r="C1947" s="12"/>
      <c r="G1947" s="5"/>
      <c r="P1947" s="5"/>
    </row>
    <row r="1948" spans="3:16" x14ac:dyDescent="0.25">
      <c r="C1948" s="12"/>
      <c r="G1948" s="5"/>
      <c r="P1948" s="5"/>
    </row>
    <row r="1949" spans="3:16" x14ac:dyDescent="0.25">
      <c r="C1949" s="12"/>
      <c r="G1949" s="5"/>
      <c r="P1949" s="5"/>
    </row>
    <row r="1950" spans="3:16" x14ac:dyDescent="0.25">
      <c r="C1950" s="12"/>
      <c r="G1950" s="5"/>
      <c r="P1950" s="5"/>
    </row>
    <row r="1951" spans="3:16" x14ac:dyDescent="0.25">
      <c r="C1951" s="12"/>
      <c r="G1951" s="5"/>
      <c r="P1951" s="5"/>
    </row>
    <row r="1952" spans="3:16" x14ac:dyDescent="0.25">
      <c r="C1952" s="12"/>
      <c r="G1952" s="5"/>
      <c r="P1952" s="5"/>
    </row>
    <row r="1953" spans="3:16" x14ac:dyDescent="0.25">
      <c r="C1953" s="12"/>
      <c r="G1953" s="5"/>
      <c r="P1953" s="5"/>
    </row>
    <row r="1954" spans="3:16" x14ac:dyDescent="0.25">
      <c r="C1954" s="12"/>
      <c r="G1954" s="5"/>
      <c r="P1954" s="5"/>
    </row>
    <row r="1955" spans="3:16" x14ac:dyDescent="0.25">
      <c r="C1955" s="12"/>
      <c r="G1955" s="5"/>
      <c r="P1955" s="5"/>
    </row>
    <row r="1956" spans="3:16" x14ac:dyDescent="0.25">
      <c r="C1956" s="12"/>
      <c r="G1956" s="5"/>
      <c r="P1956" s="5"/>
    </row>
    <row r="1957" spans="3:16" x14ac:dyDescent="0.25">
      <c r="C1957" s="12"/>
      <c r="G1957" s="5"/>
      <c r="P1957" s="5"/>
    </row>
    <row r="1958" spans="3:16" x14ac:dyDescent="0.25">
      <c r="C1958" s="12"/>
      <c r="G1958" s="5"/>
      <c r="P1958" s="5"/>
    </row>
    <row r="1959" spans="3:16" x14ac:dyDescent="0.25">
      <c r="C1959" s="12"/>
      <c r="G1959" s="5"/>
      <c r="P1959" s="5"/>
    </row>
    <row r="1960" spans="3:16" x14ac:dyDescent="0.25">
      <c r="C1960" s="12"/>
      <c r="G1960" s="5"/>
      <c r="P1960" s="5"/>
    </row>
    <row r="1961" spans="3:16" x14ac:dyDescent="0.25">
      <c r="C1961" s="12"/>
      <c r="G1961" s="5"/>
      <c r="P1961" s="5"/>
    </row>
    <row r="1962" spans="3:16" x14ac:dyDescent="0.25">
      <c r="C1962" s="12"/>
      <c r="G1962" s="5"/>
      <c r="P1962" s="5"/>
    </row>
    <row r="1963" spans="3:16" x14ac:dyDescent="0.25">
      <c r="C1963" s="12"/>
      <c r="G1963" s="5"/>
      <c r="P1963" s="5"/>
    </row>
    <row r="1964" spans="3:16" x14ac:dyDescent="0.25">
      <c r="C1964" s="12"/>
      <c r="G1964" s="5"/>
      <c r="P1964" s="5"/>
    </row>
    <row r="1965" spans="3:16" x14ac:dyDescent="0.25">
      <c r="C1965" s="12"/>
      <c r="G1965" s="5"/>
      <c r="P1965" s="5"/>
    </row>
    <row r="1966" spans="3:16" x14ac:dyDescent="0.25">
      <c r="C1966" s="12"/>
      <c r="G1966" s="5"/>
      <c r="P1966" s="5"/>
    </row>
    <row r="1967" spans="3:16" x14ac:dyDescent="0.25">
      <c r="C1967" s="12"/>
      <c r="G1967" s="5"/>
      <c r="P1967" s="5"/>
    </row>
    <row r="1968" spans="3:16" x14ac:dyDescent="0.25">
      <c r="C1968" s="12"/>
      <c r="G1968" s="5"/>
      <c r="P1968" s="5"/>
    </row>
    <row r="1969" spans="3:16" x14ac:dyDescent="0.25">
      <c r="C1969" s="12"/>
      <c r="G1969" s="5"/>
      <c r="P1969" s="5"/>
    </row>
    <row r="1970" spans="3:16" x14ac:dyDescent="0.25">
      <c r="C1970" s="12"/>
      <c r="G1970" s="5"/>
      <c r="P1970" s="5"/>
    </row>
    <row r="1971" spans="3:16" x14ac:dyDescent="0.25">
      <c r="C1971" s="12"/>
      <c r="G1971" s="5"/>
      <c r="P1971" s="5"/>
    </row>
    <row r="1972" spans="3:16" x14ac:dyDescent="0.25">
      <c r="C1972" s="12"/>
      <c r="G1972" s="5"/>
      <c r="P1972" s="5"/>
    </row>
    <row r="1973" spans="3:16" x14ac:dyDescent="0.25">
      <c r="C1973" s="12"/>
      <c r="G1973" s="5"/>
      <c r="P1973" s="5"/>
    </row>
    <row r="1974" spans="3:16" x14ac:dyDescent="0.25">
      <c r="C1974" s="12"/>
      <c r="G1974" s="5"/>
      <c r="P1974" s="5"/>
    </row>
    <row r="1975" spans="3:16" x14ac:dyDescent="0.25">
      <c r="C1975" s="12"/>
      <c r="G1975" s="5"/>
      <c r="P1975" s="5"/>
    </row>
    <row r="1976" spans="3:16" x14ac:dyDescent="0.25">
      <c r="C1976" s="12"/>
      <c r="G1976" s="5"/>
      <c r="P1976" s="5"/>
    </row>
    <row r="1977" spans="3:16" x14ac:dyDescent="0.25">
      <c r="C1977" s="12"/>
      <c r="G1977" s="5"/>
      <c r="P1977" s="5"/>
    </row>
    <row r="1978" spans="3:16" x14ac:dyDescent="0.25">
      <c r="C1978" s="12"/>
      <c r="G1978" s="5"/>
      <c r="P1978" s="5"/>
    </row>
    <row r="1979" spans="3:16" x14ac:dyDescent="0.25">
      <c r="C1979" s="12"/>
      <c r="G1979" s="5"/>
      <c r="P1979" s="5"/>
    </row>
    <row r="1980" spans="3:16" x14ac:dyDescent="0.25">
      <c r="C1980" s="12"/>
      <c r="G1980" s="5"/>
      <c r="P1980" s="5"/>
    </row>
    <row r="1981" spans="3:16" x14ac:dyDescent="0.25">
      <c r="C1981" s="12"/>
      <c r="G1981" s="5"/>
      <c r="P1981" s="5"/>
    </row>
    <row r="1982" spans="3:16" x14ac:dyDescent="0.25">
      <c r="C1982" s="12"/>
      <c r="G1982" s="5"/>
      <c r="P1982" s="5"/>
    </row>
    <row r="1983" spans="3:16" x14ac:dyDescent="0.25">
      <c r="C1983" s="12"/>
      <c r="G1983" s="5"/>
      <c r="P1983" s="5"/>
    </row>
    <row r="1984" spans="3:16" x14ac:dyDescent="0.25">
      <c r="C1984" s="12"/>
      <c r="G1984" s="5"/>
      <c r="P1984" s="5"/>
    </row>
    <row r="1985" spans="3:16" x14ac:dyDescent="0.25">
      <c r="C1985" s="12"/>
      <c r="G1985" s="5"/>
      <c r="P1985" s="5"/>
    </row>
    <row r="1986" spans="3:16" x14ac:dyDescent="0.25">
      <c r="C1986" s="12"/>
      <c r="G1986" s="5"/>
      <c r="P1986" s="5"/>
    </row>
    <row r="1987" spans="3:16" x14ac:dyDescent="0.25">
      <c r="C1987" s="12"/>
      <c r="G1987" s="5"/>
      <c r="P1987" s="5"/>
    </row>
    <row r="1988" spans="3:16" x14ac:dyDescent="0.25">
      <c r="C1988" s="12"/>
      <c r="G1988" s="5"/>
      <c r="P1988" s="5"/>
    </row>
    <row r="1989" spans="3:16" x14ac:dyDescent="0.25">
      <c r="C1989" s="12"/>
      <c r="G1989" s="5"/>
      <c r="P1989" s="5"/>
    </row>
    <row r="1990" spans="3:16" x14ac:dyDescent="0.25">
      <c r="C1990" s="12"/>
      <c r="G1990" s="5"/>
      <c r="P1990" s="5"/>
    </row>
    <row r="1991" spans="3:16" x14ac:dyDescent="0.25">
      <c r="C1991" s="12"/>
      <c r="G1991" s="5"/>
      <c r="P1991" s="5"/>
    </row>
    <row r="1992" spans="3:16" x14ac:dyDescent="0.25">
      <c r="C1992" s="12"/>
      <c r="G1992" s="5"/>
      <c r="P1992" s="5"/>
    </row>
    <row r="1993" spans="3:16" x14ac:dyDescent="0.25">
      <c r="C1993" s="12"/>
      <c r="G1993" s="5"/>
      <c r="P1993" s="5"/>
    </row>
    <row r="1994" spans="3:16" x14ac:dyDescent="0.25">
      <c r="C1994" s="12"/>
      <c r="G1994" s="5"/>
      <c r="P1994" s="5"/>
    </row>
    <row r="1995" spans="3:16" x14ac:dyDescent="0.25">
      <c r="C1995" s="12"/>
      <c r="G1995" s="5"/>
      <c r="P1995" s="5"/>
    </row>
    <row r="1996" spans="3:16" x14ac:dyDescent="0.25">
      <c r="C1996" s="12"/>
      <c r="G1996" s="5"/>
      <c r="P1996" s="5"/>
    </row>
    <row r="1997" spans="3:16" x14ac:dyDescent="0.25">
      <c r="C1997" s="12"/>
      <c r="G1997" s="5"/>
      <c r="P1997" s="5"/>
    </row>
    <row r="1998" spans="3:16" x14ac:dyDescent="0.25">
      <c r="C1998" s="12"/>
      <c r="G1998" s="5"/>
      <c r="P1998" s="5"/>
    </row>
    <row r="1999" spans="3:16" x14ac:dyDescent="0.25">
      <c r="C1999" s="12"/>
      <c r="G1999" s="5"/>
      <c r="P1999" s="5"/>
    </row>
    <row r="2000" spans="3:16" x14ac:dyDescent="0.25">
      <c r="C2000" s="12"/>
      <c r="G2000" s="5"/>
      <c r="P2000" s="5"/>
    </row>
    <row r="2001" spans="3:16" x14ac:dyDescent="0.25">
      <c r="C2001" s="12"/>
      <c r="G2001" s="5"/>
      <c r="P2001" s="5"/>
    </row>
  </sheetData>
  <conditionalFormatting sqref="A2:P1221">
    <cfRule type="dataBar" priority="1">
      <dataBar>
        <cfvo type="min"/>
        <cfvo type="max"/>
        <color rgb="FF63C384"/>
      </dataBar>
      <extLst>
        <ext xmlns:x14="http://schemas.microsoft.com/office/spreadsheetml/2009/9/main" uri="{B025F937-C7B1-47D3-B67F-A62EFF666E3E}">
          <x14:id>{FCD59A2F-1179-43D7-85A6-0B5BA126FFB1}</x14:id>
        </ext>
      </extLst>
    </cfRule>
  </conditionalFormatting>
  <pageMargins left="0.7" right="0.7" top="0.75" bottom="0.75" header="0.3" footer="0.3"/>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CD59A2F-1179-43D7-85A6-0B5BA126FFB1}">
            <x14:dataBar minLength="0" maxLength="100" border="1" negativeBarBorderColorSameAsPositive="0">
              <x14:cfvo type="autoMin"/>
              <x14:cfvo type="autoMax"/>
              <x14:borderColor rgb="FF63C384"/>
              <x14:negativeFillColor rgb="FFFF0000"/>
              <x14:negativeBorderColor rgb="FFFF0000"/>
              <x14:axisColor rgb="FF000000"/>
            </x14:dataBar>
          </x14:cfRule>
          <xm:sqref>A2:P1221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5693-77FB-42A5-B591-F59B06AB3200}">
  <dimension ref="B3:O30"/>
  <sheetViews>
    <sheetView topLeftCell="A3" zoomScale="91" workbookViewId="0">
      <selection activeCell="H25" sqref="H25"/>
    </sheetView>
  </sheetViews>
  <sheetFormatPr defaultRowHeight="13.8" x14ac:dyDescent="0.25"/>
  <cols>
    <col min="2" max="2" width="10.09765625" bestFit="1" customWidth="1"/>
    <col min="3" max="3" width="13.59765625" bestFit="1" customWidth="1"/>
    <col min="4" max="4" width="14.8984375" bestFit="1" customWidth="1"/>
    <col min="6" max="6" width="10.09765625" bestFit="1" customWidth="1"/>
    <col min="7" max="7" width="14.8984375" bestFit="1" customWidth="1"/>
    <col min="8" max="8" width="13.09765625" customWidth="1"/>
    <col min="9" max="9" width="11.296875" customWidth="1"/>
    <col min="10" max="10" width="12.59765625" bestFit="1" customWidth="1"/>
    <col min="11" max="11" width="14.8984375" bestFit="1" customWidth="1"/>
    <col min="14" max="14" width="14.3984375" bestFit="1" customWidth="1"/>
    <col min="15" max="15" width="14.8984375" bestFit="1" customWidth="1"/>
    <col min="16" max="16" width="19.3984375" bestFit="1" customWidth="1"/>
  </cols>
  <sheetData>
    <row r="3" spans="2:15" x14ac:dyDescent="0.25">
      <c r="B3" s="14" t="s">
        <v>53</v>
      </c>
      <c r="C3" t="s">
        <v>41</v>
      </c>
      <c r="F3" s="14" t="s">
        <v>54</v>
      </c>
      <c r="G3" t="s">
        <v>41</v>
      </c>
      <c r="J3" s="14" t="s">
        <v>55</v>
      </c>
      <c r="K3" t="s">
        <v>41</v>
      </c>
      <c r="N3" s="14" t="s">
        <v>56</v>
      </c>
      <c r="O3" t="s">
        <v>41</v>
      </c>
    </row>
    <row r="4" spans="2:15" x14ac:dyDescent="0.25">
      <c r="B4" s="11" t="s">
        <v>30</v>
      </c>
      <c r="C4" s="18">
        <v>82232</v>
      </c>
      <c r="F4" s="11" t="s">
        <v>20</v>
      </c>
      <c r="G4" s="18">
        <v>67331</v>
      </c>
      <c r="J4" s="11" t="s">
        <v>25</v>
      </c>
      <c r="K4" s="18">
        <v>166760</v>
      </c>
      <c r="N4" s="11" t="s">
        <v>47</v>
      </c>
      <c r="O4" s="18">
        <v>106127</v>
      </c>
    </row>
    <row r="5" spans="2:15" x14ac:dyDescent="0.25">
      <c r="B5" s="11" t="s">
        <v>28</v>
      </c>
      <c r="C5" s="18">
        <v>78490</v>
      </c>
      <c r="F5" s="11" t="s">
        <v>31</v>
      </c>
      <c r="G5" s="18">
        <v>73624</v>
      </c>
      <c r="J5" s="11" t="s">
        <v>18</v>
      </c>
      <c r="K5" s="18">
        <v>179030</v>
      </c>
      <c r="N5" s="11" t="s">
        <v>49</v>
      </c>
      <c r="O5" s="18">
        <v>477293</v>
      </c>
    </row>
    <row r="6" spans="2:15" x14ac:dyDescent="0.25">
      <c r="B6" s="11" t="s">
        <v>26</v>
      </c>
      <c r="C6" s="18">
        <v>69969</v>
      </c>
      <c r="F6" s="11" t="s">
        <v>45</v>
      </c>
      <c r="G6" s="18"/>
      <c r="J6" s="11" t="s">
        <v>21</v>
      </c>
      <c r="K6" s="18">
        <v>159448</v>
      </c>
      <c r="N6" s="11" t="s">
        <v>51</v>
      </c>
      <c r="O6" s="18">
        <v>64017</v>
      </c>
    </row>
    <row r="7" spans="2:15" x14ac:dyDescent="0.25">
      <c r="B7" s="11" t="s">
        <v>34</v>
      </c>
      <c r="C7" s="18">
        <v>69508</v>
      </c>
      <c r="F7" s="11" t="s">
        <v>16</v>
      </c>
      <c r="G7" s="18">
        <v>80905</v>
      </c>
      <c r="J7" s="11" t="s">
        <v>15</v>
      </c>
      <c r="K7" s="18">
        <v>142199</v>
      </c>
      <c r="N7" s="11" t="s">
        <v>40</v>
      </c>
      <c r="O7" s="18">
        <v>647437</v>
      </c>
    </row>
    <row r="8" spans="2:15" x14ac:dyDescent="0.25">
      <c r="B8" s="11" t="s">
        <v>36</v>
      </c>
      <c r="C8" s="18">
        <v>68679</v>
      </c>
      <c r="F8" s="11" t="s">
        <v>22</v>
      </c>
      <c r="G8" s="18">
        <v>74452</v>
      </c>
      <c r="J8" s="11" t="s">
        <v>57</v>
      </c>
      <c r="K8" s="18"/>
    </row>
    <row r="9" spans="2:15" x14ac:dyDescent="0.25">
      <c r="B9" s="11" t="s">
        <v>35</v>
      </c>
      <c r="C9" s="18">
        <v>59987</v>
      </c>
      <c r="F9" s="11" t="s">
        <v>37</v>
      </c>
      <c r="G9" s="18">
        <v>64554</v>
      </c>
      <c r="J9" s="11" t="s">
        <v>40</v>
      </c>
      <c r="K9" s="18">
        <v>647437</v>
      </c>
    </row>
    <row r="10" spans="2:15" x14ac:dyDescent="0.25">
      <c r="B10" s="11" t="s">
        <v>23</v>
      </c>
      <c r="C10" s="18">
        <v>58195</v>
      </c>
      <c r="F10" s="11" t="s">
        <v>13</v>
      </c>
      <c r="G10" s="18">
        <v>69414</v>
      </c>
    </row>
    <row r="11" spans="2:15" x14ac:dyDescent="0.25">
      <c r="B11" s="11" t="s">
        <v>19</v>
      </c>
      <c r="C11" s="18">
        <v>55916</v>
      </c>
      <c r="F11" s="11" t="s">
        <v>32</v>
      </c>
      <c r="G11" s="18">
        <v>83772</v>
      </c>
    </row>
    <row r="12" spans="2:15" x14ac:dyDescent="0.25">
      <c r="B12" s="11" t="s">
        <v>12</v>
      </c>
      <c r="C12" s="18">
        <v>55377</v>
      </c>
      <c r="F12" s="11" t="s">
        <v>24</v>
      </c>
      <c r="G12" s="18">
        <v>74376</v>
      </c>
    </row>
    <row r="13" spans="2:15" x14ac:dyDescent="0.25">
      <c r="B13" s="11" t="s">
        <v>33</v>
      </c>
      <c r="C13" s="18">
        <v>49084</v>
      </c>
      <c r="F13" s="11" t="s">
        <v>27</v>
      </c>
      <c r="G13" s="18">
        <v>59009</v>
      </c>
    </row>
    <row r="14" spans="2:15" x14ac:dyDescent="0.25">
      <c r="B14" s="11" t="s">
        <v>57</v>
      </c>
      <c r="C14" s="18"/>
      <c r="F14" s="11" t="s">
        <v>57</v>
      </c>
      <c r="G14" s="18"/>
    </row>
    <row r="15" spans="2:15" x14ac:dyDescent="0.25">
      <c r="B15" s="11" t="s">
        <v>40</v>
      </c>
      <c r="C15" s="18">
        <v>647437</v>
      </c>
      <c r="F15" s="11" t="s">
        <v>40</v>
      </c>
      <c r="G15" s="18">
        <v>647437</v>
      </c>
    </row>
    <row r="18" spans="2:4" x14ac:dyDescent="0.25">
      <c r="B18" s="14" t="s">
        <v>53</v>
      </c>
      <c r="C18" t="s">
        <v>42</v>
      </c>
      <c r="D18" t="s">
        <v>41</v>
      </c>
    </row>
    <row r="19" spans="2:4" x14ac:dyDescent="0.25">
      <c r="B19" s="11" t="s">
        <v>12</v>
      </c>
      <c r="C19" s="18">
        <v>6715136</v>
      </c>
      <c r="D19" s="18">
        <v>55377</v>
      </c>
    </row>
    <row r="20" spans="2:4" x14ac:dyDescent="0.25">
      <c r="B20" s="11" t="s">
        <v>23</v>
      </c>
      <c r="C20" s="18">
        <v>7409106</v>
      </c>
      <c r="D20" s="18">
        <v>58195</v>
      </c>
    </row>
    <row r="21" spans="2:4" x14ac:dyDescent="0.25">
      <c r="B21" s="11" t="s">
        <v>33</v>
      </c>
      <c r="C21" s="18">
        <v>5826963</v>
      </c>
      <c r="D21" s="18">
        <v>49084</v>
      </c>
    </row>
    <row r="22" spans="2:4" x14ac:dyDescent="0.25">
      <c r="B22" s="11" t="s">
        <v>26</v>
      </c>
      <c r="C22" s="18">
        <v>7777552</v>
      </c>
      <c r="D22" s="18">
        <v>69969</v>
      </c>
    </row>
    <row r="23" spans="2:4" x14ac:dyDescent="0.25">
      <c r="B23" s="11" t="s">
        <v>35</v>
      </c>
      <c r="C23" s="18">
        <v>6580907</v>
      </c>
      <c r="D23" s="18">
        <v>59987</v>
      </c>
    </row>
    <row r="24" spans="2:4" x14ac:dyDescent="0.25">
      <c r="B24" s="11" t="s">
        <v>34</v>
      </c>
      <c r="C24" s="18">
        <v>110882889</v>
      </c>
      <c r="D24" s="18">
        <v>69508</v>
      </c>
    </row>
    <row r="25" spans="2:4" x14ac:dyDescent="0.25">
      <c r="B25" s="11" t="s">
        <v>28</v>
      </c>
      <c r="C25" s="18">
        <v>128293248</v>
      </c>
      <c r="D25" s="18">
        <v>78490</v>
      </c>
    </row>
    <row r="26" spans="2:4" x14ac:dyDescent="0.25">
      <c r="B26" s="11" t="s">
        <v>36</v>
      </c>
      <c r="C26" s="18">
        <v>127130403</v>
      </c>
      <c r="D26" s="18">
        <v>68679</v>
      </c>
    </row>
    <row r="27" spans="2:4" x14ac:dyDescent="0.25">
      <c r="B27" s="11" t="s">
        <v>30</v>
      </c>
      <c r="C27" s="18">
        <v>162412169</v>
      </c>
      <c r="D27" s="18">
        <v>82232</v>
      </c>
    </row>
    <row r="28" spans="2:4" x14ac:dyDescent="0.25">
      <c r="B28" s="11" t="s">
        <v>19</v>
      </c>
      <c r="C28" s="18">
        <v>100639264</v>
      </c>
      <c r="D28" s="18">
        <v>55916</v>
      </c>
    </row>
    <row r="29" spans="2:4" x14ac:dyDescent="0.25">
      <c r="B29" s="11" t="s">
        <v>57</v>
      </c>
      <c r="C29" s="18"/>
      <c r="D29" s="18"/>
    </row>
    <row r="30" spans="2:4" x14ac:dyDescent="0.25">
      <c r="B30" s="11" t="s">
        <v>40</v>
      </c>
      <c r="C30" s="18">
        <v>663667637</v>
      </c>
      <c r="D30" s="18">
        <v>647437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836B-1633-475C-8646-78B9D651E22D}">
  <dimension ref="A3:T52"/>
  <sheetViews>
    <sheetView tabSelected="1" zoomScale="75" zoomScaleNormal="115" workbookViewId="0">
      <selection activeCell="V11" sqref="V11"/>
    </sheetView>
  </sheetViews>
  <sheetFormatPr defaultRowHeight="13.8" x14ac:dyDescent="0.25"/>
  <sheetData>
    <row r="3" spans="1:20" x14ac:dyDescent="0.25">
      <c r="A3" s="15"/>
      <c r="B3" s="15"/>
      <c r="C3" s="15"/>
      <c r="D3" s="15"/>
      <c r="E3" s="15"/>
      <c r="F3" s="15"/>
      <c r="G3" s="15"/>
      <c r="H3" s="15"/>
      <c r="I3" s="15"/>
      <c r="J3" s="15"/>
      <c r="K3" s="15"/>
      <c r="L3" s="15"/>
      <c r="M3" s="15"/>
      <c r="N3" s="15"/>
      <c r="O3" s="15"/>
      <c r="P3" s="15"/>
      <c r="Q3" s="15"/>
      <c r="R3" s="15"/>
      <c r="S3" s="15"/>
      <c r="T3" s="15"/>
    </row>
    <row r="4" spans="1:20" x14ac:dyDescent="0.25">
      <c r="A4" s="15"/>
      <c r="B4" s="15"/>
      <c r="C4" s="15"/>
      <c r="D4" s="15"/>
      <c r="E4" s="15"/>
      <c r="F4" s="15"/>
      <c r="G4" s="15"/>
      <c r="H4" s="15"/>
      <c r="I4" s="15"/>
      <c r="J4" s="15"/>
      <c r="K4" s="15"/>
      <c r="L4" s="15"/>
      <c r="M4" s="15"/>
      <c r="N4" s="15"/>
      <c r="O4" s="15"/>
      <c r="P4" s="15"/>
      <c r="Q4" s="15"/>
      <c r="R4" s="15"/>
      <c r="S4" s="15"/>
      <c r="T4" s="15"/>
    </row>
    <row r="5" spans="1:20" x14ac:dyDescent="0.25">
      <c r="A5" s="15"/>
      <c r="B5" s="15"/>
      <c r="C5" s="15"/>
      <c r="D5" s="15"/>
      <c r="E5" s="15"/>
      <c r="F5" s="15"/>
      <c r="G5" s="15"/>
      <c r="H5" s="15"/>
      <c r="I5" s="15"/>
      <c r="J5" s="15"/>
      <c r="K5" s="15"/>
      <c r="L5" s="15"/>
      <c r="M5" s="15"/>
      <c r="N5" s="15"/>
      <c r="O5" s="15"/>
      <c r="P5" s="15"/>
      <c r="Q5" s="15"/>
      <c r="R5" s="15"/>
      <c r="S5" s="15"/>
      <c r="T5" s="15"/>
    </row>
    <row r="6" spans="1:20" x14ac:dyDescent="0.25">
      <c r="A6" s="15"/>
      <c r="B6" s="15"/>
      <c r="C6" s="15"/>
      <c r="D6" s="15"/>
      <c r="E6" s="15"/>
      <c r="F6" s="15"/>
      <c r="G6" s="15"/>
      <c r="H6" s="15"/>
      <c r="I6" s="15"/>
      <c r="J6" s="15"/>
      <c r="K6" s="15"/>
      <c r="L6" s="15"/>
      <c r="M6" s="15"/>
      <c r="N6" s="15"/>
      <c r="O6" s="15"/>
      <c r="P6" s="15"/>
      <c r="Q6" s="15"/>
      <c r="R6" s="15"/>
      <c r="S6" s="15"/>
      <c r="T6" s="15"/>
    </row>
    <row r="7" spans="1:20" x14ac:dyDescent="0.25">
      <c r="A7" s="15"/>
      <c r="B7" s="15"/>
      <c r="C7" s="15"/>
      <c r="D7" s="15"/>
      <c r="E7" s="15"/>
      <c r="F7" s="15"/>
      <c r="G7" s="15"/>
      <c r="H7" s="15"/>
      <c r="I7" s="15"/>
      <c r="J7" s="15"/>
      <c r="K7" s="15"/>
      <c r="L7" s="15"/>
      <c r="M7" s="15"/>
      <c r="N7" s="15"/>
      <c r="O7" s="15"/>
      <c r="P7" s="15"/>
      <c r="Q7" s="15"/>
      <c r="R7" s="15"/>
      <c r="S7" s="15"/>
      <c r="T7" s="15"/>
    </row>
    <row r="8" spans="1:20" x14ac:dyDescent="0.25">
      <c r="A8" s="15"/>
      <c r="B8" s="15"/>
      <c r="C8" s="15"/>
      <c r="D8" s="15"/>
      <c r="E8" s="15"/>
      <c r="F8" s="15"/>
      <c r="G8" s="15"/>
      <c r="H8" s="15"/>
      <c r="I8" s="15"/>
      <c r="J8" s="15"/>
      <c r="K8" s="15"/>
      <c r="L8" s="15"/>
      <c r="M8" s="15"/>
      <c r="N8" s="15"/>
      <c r="O8" s="15"/>
      <c r="P8" s="15"/>
      <c r="Q8" s="15"/>
      <c r="R8" s="15"/>
      <c r="S8" s="15"/>
      <c r="T8" s="15"/>
    </row>
    <row r="9" spans="1:20" x14ac:dyDescent="0.25">
      <c r="A9" s="15"/>
      <c r="B9" s="15"/>
      <c r="C9" s="15"/>
      <c r="D9" s="15"/>
      <c r="E9" s="15"/>
      <c r="F9" s="15"/>
      <c r="G9" s="15"/>
      <c r="H9" s="15"/>
      <c r="I9" s="15"/>
      <c r="J9" s="15"/>
      <c r="K9" s="15"/>
      <c r="L9" s="15"/>
      <c r="M9" s="15"/>
      <c r="N9" s="15"/>
      <c r="O9" s="15"/>
      <c r="P9" s="15"/>
      <c r="Q9" s="15"/>
      <c r="R9" s="15"/>
      <c r="S9" s="15"/>
      <c r="T9" s="15"/>
    </row>
    <row r="10" spans="1:20" x14ac:dyDescent="0.25">
      <c r="A10" s="15"/>
      <c r="B10" s="15"/>
      <c r="C10" s="15"/>
      <c r="D10" s="15"/>
      <c r="E10" s="15"/>
      <c r="F10" s="15"/>
      <c r="G10" s="15"/>
      <c r="H10" s="15"/>
      <c r="I10" s="15"/>
      <c r="J10" s="15"/>
      <c r="K10" s="15"/>
      <c r="L10" s="15"/>
      <c r="M10" s="15"/>
      <c r="N10" s="15"/>
      <c r="O10" s="15"/>
      <c r="P10" s="15"/>
      <c r="Q10" s="15"/>
      <c r="R10" s="15"/>
      <c r="S10" s="15"/>
      <c r="T10" s="15"/>
    </row>
    <row r="11" spans="1:20" x14ac:dyDescent="0.25">
      <c r="A11" s="15"/>
      <c r="B11" s="15"/>
      <c r="C11" s="15"/>
      <c r="D11" s="15"/>
      <c r="E11" s="15"/>
      <c r="F11" s="15"/>
      <c r="G11" s="15"/>
      <c r="H11" s="15"/>
      <c r="I11" s="15"/>
      <c r="J11" s="15"/>
      <c r="K11" s="15"/>
      <c r="L11" s="15"/>
      <c r="M11" s="15"/>
      <c r="N11" s="15"/>
      <c r="O11" s="15"/>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row r="21" spans="1:20" x14ac:dyDescent="0.25">
      <c r="A21" s="15"/>
      <c r="B21" s="15"/>
      <c r="C21" s="15"/>
      <c r="D21" s="15"/>
      <c r="E21" s="15"/>
      <c r="F21" s="15"/>
      <c r="G21" s="15"/>
      <c r="H21" s="15"/>
      <c r="I21" s="15"/>
      <c r="J21" s="15"/>
      <c r="K21" s="15"/>
      <c r="L21" s="15"/>
      <c r="M21" s="15"/>
      <c r="N21" s="15"/>
      <c r="O21" s="15"/>
      <c r="P21" s="15"/>
      <c r="Q21" s="15"/>
      <c r="R21" s="15"/>
      <c r="S21" s="15"/>
      <c r="T21" s="15"/>
    </row>
    <row r="22" spans="1:20" x14ac:dyDescent="0.25">
      <c r="A22" s="15"/>
      <c r="B22" s="15"/>
      <c r="C22" s="15"/>
      <c r="D22" s="15"/>
      <c r="E22" s="15"/>
      <c r="F22" s="15"/>
      <c r="G22" s="15"/>
      <c r="H22" s="15"/>
      <c r="I22" s="15"/>
      <c r="J22" s="15"/>
      <c r="K22" s="15"/>
      <c r="L22" s="15"/>
      <c r="M22" s="15"/>
      <c r="N22" s="15"/>
      <c r="O22" s="15"/>
      <c r="P22" s="15"/>
      <c r="Q22" s="15"/>
      <c r="R22" s="15"/>
      <c r="S22" s="15"/>
      <c r="T22" s="15"/>
    </row>
    <row r="23" spans="1:20" x14ac:dyDescent="0.25">
      <c r="A23" s="15"/>
      <c r="B23" s="15"/>
      <c r="C23" s="15"/>
      <c r="D23" s="15"/>
      <c r="E23" s="15"/>
      <c r="F23" s="15"/>
      <c r="G23" s="15"/>
      <c r="H23" s="15"/>
      <c r="I23" s="15"/>
      <c r="J23" s="15"/>
      <c r="K23" s="15"/>
      <c r="L23" s="15"/>
      <c r="M23" s="15"/>
      <c r="N23" s="15"/>
      <c r="O23" s="15"/>
      <c r="P23" s="15"/>
      <c r="Q23" s="15"/>
      <c r="R23" s="15"/>
      <c r="S23" s="15"/>
      <c r="T23" s="15"/>
    </row>
    <row r="24" spans="1:20" x14ac:dyDescent="0.25">
      <c r="A24" s="15"/>
      <c r="B24" s="15"/>
      <c r="C24" s="15"/>
      <c r="D24" s="15"/>
      <c r="E24" s="15"/>
      <c r="F24" s="15"/>
      <c r="G24" s="15"/>
      <c r="H24" s="15"/>
      <c r="I24" s="15"/>
      <c r="J24" s="15"/>
      <c r="K24" s="15"/>
      <c r="L24" s="15"/>
      <c r="M24" s="15"/>
      <c r="N24" s="15"/>
      <c r="O24" s="15"/>
      <c r="P24" s="15"/>
      <c r="Q24" s="15"/>
      <c r="R24" s="15"/>
      <c r="S24" s="15"/>
      <c r="T24" s="15"/>
    </row>
    <row r="25" spans="1:20" x14ac:dyDescent="0.25">
      <c r="A25" s="15"/>
      <c r="B25" s="15"/>
      <c r="C25" s="15"/>
      <c r="D25" s="15"/>
      <c r="E25" s="15"/>
      <c r="F25" s="15"/>
      <c r="G25" s="15"/>
      <c r="H25" s="15"/>
      <c r="I25" s="15"/>
      <c r="J25" s="15"/>
      <c r="K25" s="15"/>
      <c r="L25" s="15"/>
      <c r="M25" s="15"/>
      <c r="N25" s="15"/>
      <c r="O25" s="15"/>
      <c r="P25" s="15"/>
      <c r="Q25" s="15"/>
      <c r="R25" s="15"/>
      <c r="S25" s="15"/>
      <c r="T25" s="15"/>
    </row>
    <row r="26" spans="1:20" x14ac:dyDescent="0.25">
      <c r="A26" s="15"/>
      <c r="B26" s="15"/>
      <c r="C26" s="15"/>
      <c r="D26" s="15"/>
      <c r="E26" s="15"/>
      <c r="F26" s="15"/>
      <c r="G26" s="15"/>
      <c r="H26" s="15"/>
      <c r="I26" s="15"/>
      <c r="J26" s="15"/>
      <c r="K26" s="15"/>
      <c r="L26" s="15"/>
      <c r="M26" s="15"/>
      <c r="N26" s="15"/>
      <c r="O26" s="15"/>
      <c r="P26" s="15"/>
      <c r="Q26" s="15"/>
      <c r="R26" s="15"/>
      <c r="S26" s="15"/>
      <c r="T26" s="15"/>
    </row>
    <row r="27" spans="1:20" x14ac:dyDescent="0.25">
      <c r="A27" s="15"/>
      <c r="B27" s="15"/>
      <c r="C27" s="15"/>
      <c r="D27" s="15"/>
      <c r="E27" s="15"/>
      <c r="F27" s="15"/>
      <c r="G27" s="15"/>
      <c r="H27" s="15"/>
      <c r="I27" s="15"/>
      <c r="J27" s="15"/>
      <c r="K27" s="15"/>
      <c r="L27" s="15"/>
      <c r="M27" s="15"/>
      <c r="N27" s="15"/>
      <c r="O27" s="15"/>
      <c r="P27" s="15"/>
      <c r="Q27" s="15"/>
      <c r="R27" s="15"/>
      <c r="S27" s="15"/>
      <c r="T27" s="15"/>
    </row>
    <row r="28" spans="1:20" x14ac:dyDescent="0.25">
      <c r="A28" s="15"/>
      <c r="B28" s="15"/>
      <c r="C28" s="15"/>
      <c r="D28" s="15"/>
      <c r="E28" s="15"/>
      <c r="F28" s="15"/>
      <c r="G28" s="15"/>
      <c r="H28" s="15"/>
      <c r="I28" s="15"/>
      <c r="J28" s="15"/>
      <c r="K28" s="15"/>
      <c r="L28" s="15"/>
      <c r="M28" s="15"/>
      <c r="N28" s="15"/>
      <c r="O28" s="15"/>
      <c r="P28" s="15"/>
      <c r="Q28" s="15"/>
      <c r="R28" s="15"/>
      <c r="S28" s="15"/>
      <c r="T28" s="15"/>
    </row>
    <row r="29" spans="1:20" x14ac:dyDescent="0.25">
      <c r="A29" s="15"/>
      <c r="B29" s="15"/>
      <c r="C29" s="15"/>
      <c r="D29" s="15"/>
      <c r="E29" s="15"/>
      <c r="F29" s="15"/>
      <c r="G29" s="15"/>
      <c r="H29" s="15"/>
      <c r="I29" s="15"/>
      <c r="J29" s="15"/>
      <c r="K29" s="15"/>
      <c r="L29" s="15"/>
      <c r="M29" s="15"/>
      <c r="N29" s="15"/>
      <c r="O29" s="15"/>
      <c r="P29" s="15"/>
      <c r="Q29" s="15"/>
      <c r="R29" s="15"/>
      <c r="S29" s="15"/>
      <c r="T29" s="15"/>
    </row>
    <row r="30" spans="1:20" x14ac:dyDescent="0.25">
      <c r="A30" s="15"/>
      <c r="B30" s="15"/>
      <c r="C30" s="15"/>
      <c r="D30" s="15"/>
      <c r="E30" s="15"/>
      <c r="F30" s="15"/>
      <c r="G30" s="15"/>
      <c r="H30" s="15"/>
      <c r="I30" s="15"/>
      <c r="J30" s="15"/>
      <c r="K30" s="15"/>
      <c r="L30" s="15"/>
      <c r="M30" s="15"/>
      <c r="N30" s="15"/>
      <c r="O30" s="15"/>
      <c r="P30" s="15"/>
      <c r="Q30" s="15"/>
      <c r="R30" s="15"/>
      <c r="S30" s="15"/>
      <c r="T30" s="15"/>
    </row>
    <row r="31" spans="1:20" x14ac:dyDescent="0.25">
      <c r="A31" s="15"/>
      <c r="B31" s="15"/>
      <c r="C31" s="15"/>
      <c r="D31" s="15"/>
      <c r="E31" s="15"/>
      <c r="F31" s="15"/>
      <c r="G31" s="15"/>
      <c r="H31" s="15"/>
      <c r="I31" s="15"/>
      <c r="J31" s="15"/>
      <c r="K31" s="15"/>
      <c r="L31" s="15"/>
      <c r="M31" s="15"/>
      <c r="N31" s="15"/>
      <c r="O31" s="15"/>
      <c r="P31" s="15"/>
      <c r="Q31" s="15"/>
      <c r="R31" s="15"/>
      <c r="S31" s="15"/>
      <c r="T31" s="15"/>
    </row>
    <row r="32" spans="1:20" x14ac:dyDescent="0.25">
      <c r="A32" s="15"/>
      <c r="B32" s="15"/>
      <c r="C32" s="15"/>
      <c r="D32" s="15"/>
      <c r="E32" s="15"/>
      <c r="F32" s="15"/>
      <c r="G32" s="15"/>
      <c r="H32" s="15"/>
      <c r="I32" s="15"/>
      <c r="J32" s="15"/>
      <c r="K32" s="15"/>
      <c r="L32" s="15"/>
      <c r="M32" s="15"/>
      <c r="N32" s="15"/>
      <c r="O32" s="15"/>
      <c r="P32" s="15"/>
      <c r="Q32" s="15"/>
      <c r="R32" s="15"/>
      <c r="S32" s="15"/>
      <c r="T32" s="15"/>
    </row>
    <row r="33" spans="1:20" x14ac:dyDescent="0.25">
      <c r="A33" s="15"/>
      <c r="B33" s="15"/>
      <c r="C33" s="15"/>
      <c r="D33" s="15"/>
      <c r="E33" s="15"/>
      <c r="F33" s="15"/>
      <c r="G33" s="15"/>
      <c r="H33" s="15"/>
      <c r="I33" s="15"/>
      <c r="J33" s="15"/>
      <c r="K33" s="15"/>
      <c r="L33" s="15"/>
      <c r="M33" s="15"/>
      <c r="N33" s="15"/>
      <c r="O33" s="15"/>
      <c r="P33" s="15"/>
      <c r="Q33" s="15"/>
      <c r="R33" s="15"/>
      <c r="S33" s="15"/>
      <c r="T33" s="15"/>
    </row>
    <row r="34" spans="1:20" x14ac:dyDescent="0.25">
      <c r="A34" s="15"/>
      <c r="B34" s="15"/>
      <c r="C34" s="15"/>
      <c r="D34" s="15"/>
      <c r="E34" s="15"/>
      <c r="F34" s="15"/>
      <c r="G34" s="15"/>
      <c r="H34" s="15"/>
      <c r="I34" s="15"/>
      <c r="J34" s="15"/>
      <c r="K34" s="15"/>
      <c r="L34" s="15"/>
      <c r="M34" s="15"/>
      <c r="N34" s="15"/>
      <c r="O34" s="15"/>
      <c r="P34" s="15"/>
      <c r="Q34" s="15"/>
      <c r="R34" s="15"/>
      <c r="S34" s="15"/>
      <c r="T34" s="15"/>
    </row>
    <row r="35" spans="1:20" x14ac:dyDescent="0.25">
      <c r="A35" s="15"/>
      <c r="B35" s="15"/>
      <c r="C35" s="15"/>
      <c r="D35" s="15"/>
      <c r="E35" s="15"/>
      <c r="F35" s="15"/>
      <c r="G35" s="15"/>
      <c r="H35" s="15"/>
      <c r="I35" s="15"/>
      <c r="J35" s="15"/>
      <c r="K35" s="15"/>
      <c r="L35" s="15"/>
      <c r="M35" s="15"/>
      <c r="N35" s="15"/>
      <c r="O35" s="15"/>
      <c r="P35" s="15"/>
      <c r="Q35" s="15"/>
      <c r="R35" s="15"/>
      <c r="S35" s="15"/>
      <c r="T35" s="15"/>
    </row>
    <row r="36" spans="1:20" x14ac:dyDescent="0.25">
      <c r="A36" s="15"/>
      <c r="B36" s="15"/>
      <c r="C36" s="15"/>
      <c r="D36" s="15"/>
      <c r="E36" s="15"/>
      <c r="F36" s="15"/>
      <c r="G36" s="15"/>
      <c r="H36" s="15"/>
      <c r="I36" s="15"/>
      <c r="J36" s="15"/>
      <c r="K36" s="15"/>
      <c r="L36" s="15"/>
      <c r="M36" s="15"/>
      <c r="N36" s="15"/>
      <c r="O36" s="15"/>
      <c r="P36" s="15"/>
      <c r="Q36" s="15"/>
      <c r="R36" s="15"/>
      <c r="S36" s="15"/>
      <c r="T36" s="15"/>
    </row>
    <row r="37" spans="1:20" x14ac:dyDescent="0.25">
      <c r="A37" s="15"/>
      <c r="B37" s="15"/>
      <c r="C37" s="15"/>
      <c r="D37" s="15"/>
      <c r="E37" s="15"/>
      <c r="F37" s="15"/>
      <c r="G37" s="15"/>
      <c r="H37" s="15"/>
      <c r="I37" s="15"/>
      <c r="J37" s="15"/>
      <c r="K37" s="15"/>
      <c r="L37" s="15"/>
      <c r="M37" s="15"/>
      <c r="N37" s="15"/>
      <c r="O37" s="15"/>
      <c r="P37" s="15"/>
      <c r="Q37" s="15"/>
      <c r="R37" s="15"/>
      <c r="S37" s="15"/>
      <c r="T37" s="15"/>
    </row>
    <row r="38" spans="1:20" x14ac:dyDescent="0.25">
      <c r="A38" s="15"/>
      <c r="B38" s="15"/>
      <c r="C38" s="15"/>
      <c r="D38" s="15"/>
      <c r="E38" s="15"/>
      <c r="F38" s="15"/>
      <c r="G38" s="15"/>
      <c r="H38" s="15"/>
      <c r="I38" s="15"/>
      <c r="J38" s="15"/>
      <c r="K38" s="15"/>
      <c r="L38" s="15"/>
      <c r="M38" s="15"/>
      <c r="N38" s="15"/>
      <c r="O38" s="15"/>
      <c r="P38" s="15"/>
      <c r="Q38" s="15"/>
      <c r="R38" s="15"/>
      <c r="S38" s="15"/>
      <c r="T38" s="15"/>
    </row>
    <row r="39" spans="1:20" x14ac:dyDescent="0.25">
      <c r="A39" s="15"/>
      <c r="B39" s="15"/>
      <c r="C39" s="15"/>
      <c r="D39" s="15"/>
      <c r="E39" s="15"/>
      <c r="F39" s="15"/>
      <c r="G39" s="15"/>
      <c r="H39" s="15"/>
      <c r="I39" s="15"/>
      <c r="J39" s="15"/>
      <c r="K39" s="15"/>
      <c r="L39" s="15"/>
      <c r="M39" s="15"/>
      <c r="N39" s="15"/>
      <c r="O39" s="15"/>
      <c r="P39" s="15"/>
      <c r="Q39" s="15"/>
      <c r="R39" s="15"/>
      <c r="S39" s="15"/>
      <c r="T39" s="15"/>
    </row>
    <row r="40" spans="1:20" x14ac:dyDescent="0.25">
      <c r="A40" s="15"/>
      <c r="B40" s="15"/>
      <c r="C40" s="15"/>
      <c r="D40" s="15"/>
      <c r="E40" s="15"/>
      <c r="F40" s="15"/>
      <c r="G40" s="15"/>
      <c r="H40" s="15"/>
      <c r="I40" s="15"/>
      <c r="J40" s="15"/>
      <c r="K40" s="15"/>
      <c r="L40" s="15"/>
      <c r="M40" s="15"/>
      <c r="N40" s="15"/>
      <c r="O40" s="15"/>
      <c r="P40" s="15"/>
      <c r="Q40" s="15"/>
      <c r="R40" s="15"/>
      <c r="S40" s="15"/>
      <c r="T40" s="15"/>
    </row>
    <row r="41" spans="1:20" x14ac:dyDescent="0.25">
      <c r="A41" s="15"/>
      <c r="B41" s="15"/>
      <c r="C41" s="15"/>
      <c r="D41" s="15"/>
      <c r="E41" s="15"/>
      <c r="F41" s="15"/>
      <c r="G41" s="15"/>
      <c r="H41" s="15"/>
      <c r="I41" s="15"/>
      <c r="J41" s="15"/>
      <c r="K41" s="15"/>
      <c r="L41" s="15"/>
      <c r="M41" s="15"/>
      <c r="N41" s="15"/>
      <c r="O41" s="15"/>
      <c r="P41" s="15"/>
      <c r="Q41" s="15"/>
      <c r="R41" s="15"/>
      <c r="S41" s="15"/>
      <c r="T41" s="15"/>
    </row>
    <row r="42" spans="1:20" x14ac:dyDescent="0.25">
      <c r="A42" s="15"/>
      <c r="B42" s="15"/>
      <c r="C42" s="15"/>
      <c r="D42" s="15"/>
      <c r="E42" s="15"/>
      <c r="F42" s="15"/>
      <c r="G42" s="15"/>
      <c r="H42" s="15"/>
      <c r="I42" s="15"/>
      <c r="J42" s="15"/>
      <c r="K42" s="15"/>
      <c r="L42" s="15"/>
      <c r="M42" s="15"/>
      <c r="N42" s="15"/>
      <c r="O42" s="15"/>
      <c r="P42" s="15"/>
      <c r="Q42" s="15"/>
      <c r="R42" s="15"/>
      <c r="S42" s="15"/>
      <c r="T42" s="15"/>
    </row>
    <row r="43" spans="1:20" x14ac:dyDescent="0.25">
      <c r="A43" s="15"/>
      <c r="B43" s="15"/>
      <c r="C43" s="15"/>
      <c r="D43" s="15"/>
      <c r="E43" s="15"/>
      <c r="F43" s="15"/>
      <c r="G43" s="15"/>
      <c r="H43" s="15"/>
      <c r="I43" s="15"/>
      <c r="J43" s="15"/>
      <c r="K43" s="15"/>
      <c r="L43" s="15"/>
      <c r="M43" s="15"/>
      <c r="N43" s="15"/>
      <c r="O43" s="15"/>
      <c r="P43" s="15"/>
      <c r="Q43" s="15"/>
      <c r="R43" s="15"/>
      <c r="S43" s="15"/>
      <c r="T43" s="15"/>
    </row>
    <row r="44" spans="1:20" x14ac:dyDescent="0.25">
      <c r="A44" s="15"/>
      <c r="B44" s="15"/>
      <c r="C44" s="15"/>
      <c r="D44" s="15"/>
      <c r="E44" s="15"/>
      <c r="F44" s="15"/>
      <c r="G44" s="15"/>
      <c r="H44" s="15"/>
      <c r="I44" s="15"/>
      <c r="J44" s="15"/>
      <c r="K44" s="15"/>
      <c r="L44" s="15"/>
      <c r="M44" s="15"/>
      <c r="N44" s="15"/>
      <c r="O44" s="15"/>
      <c r="P44" s="15"/>
      <c r="Q44" s="15"/>
      <c r="R44" s="15"/>
      <c r="S44" s="15"/>
      <c r="T44" s="15"/>
    </row>
    <row r="45" spans="1:20" x14ac:dyDescent="0.25">
      <c r="A45" s="15"/>
      <c r="B45" s="15"/>
      <c r="C45" s="15"/>
      <c r="D45" s="15"/>
      <c r="E45" s="15"/>
      <c r="F45" s="15"/>
      <c r="G45" s="15"/>
      <c r="H45" s="15"/>
      <c r="I45" s="15"/>
      <c r="J45" s="15"/>
      <c r="K45" s="15"/>
      <c r="L45" s="15"/>
      <c r="M45" s="15"/>
      <c r="N45" s="15"/>
      <c r="O45" s="15"/>
      <c r="P45" s="15"/>
      <c r="Q45" s="15"/>
      <c r="R45" s="15"/>
      <c r="S45" s="15"/>
      <c r="T45" s="15"/>
    </row>
    <row r="46" spans="1:20" x14ac:dyDescent="0.25">
      <c r="A46" s="15"/>
      <c r="B46" s="15"/>
      <c r="C46" s="15"/>
      <c r="D46" s="15"/>
      <c r="E46" s="15"/>
      <c r="F46" s="15"/>
      <c r="G46" s="15"/>
      <c r="H46" s="15"/>
      <c r="I46" s="15"/>
      <c r="J46" s="15"/>
      <c r="K46" s="15"/>
      <c r="L46" s="15"/>
      <c r="M46" s="15"/>
      <c r="N46" s="15"/>
      <c r="O46" s="15"/>
      <c r="P46" s="15"/>
      <c r="Q46" s="15"/>
      <c r="R46" s="15"/>
      <c r="S46" s="15"/>
      <c r="T46" s="15"/>
    </row>
    <row r="47" spans="1:20" x14ac:dyDescent="0.25">
      <c r="A47" s="15"/>
      <c r="B47" s="15"/>
      <c r="C47" s="15"/>
      <c r="D47" s="15"/>
      <c r="E47" s="15"/>
      <c r="F47" s="15"/>
      <c r="G47" s="15"/>
      <c r="H47" s="15"/>
      <c r="I47" s="15"/>
      <c r="J47" s="15"/>
      <c r="K47" s="15"/>
      <c r="L47" s="15"/>
      <c r="M47" s="15"/>
      <c r="N47" s="15"/>
      <c r="O47" s="15"/>
      <c r="P47" s="15"/>
      <c r="Q47" s="15"/>
      <c r="R47" s="15"/>
      <c r="S47" s="15"/>
      <c r="T47" s="15"/>
    </row>
    <row r="48" spans="1:20" x14ac:dyDescent="0.25">
      <c r="A48" s="15"/>
      <c r="B48" s="15"/>
      <c r="C48" s="15"/>
      <c r="D48" s="15"/>
      <c r="E48" s="15"/>
      <c r="F48" s="15"/>
      <c r="G48" s="15"/>
      <c r="H48" s="15"/>
      <c r="I48" s="15"/>
      <c r="J48" s="15"/>
      <c r="K48" s="15"/>
      <c r="L48" s="15"/>
      <c r="M48" s="15"/>
      <c r="N48" s="15"/>
      <c r="O48" s="15"/>
      <c r="P48" s="15"/>
      <c r="Q48" s="15"/>
      <c r="R48" s="15"/>
      <c r="S48" s="15"/>
      <c r="T48" s="15"/>
    </row>
    <row r="49" spans="1:20" x14ac:dyDescent="0.25">
      <c r="A49" s="15"/>
      <c r="B49" s="15"/>
      <c r="C49" s="15"/>
      <c r="D49" s="15"/>
      <c r="E49" s="15"/>
      <c r="F49" s="15"/>
      <c r="G49" s="15"/>
      <c r="H49" s="15"/>
      <c r="I49" s="15"/>
      <c r="J49" s="15"/>
      <c r="K49" s="15"/>
      <c r="L49" s="15"/>
      <c r="M49" s="15"/>
      <c r="N49" s="15"/>
      <c r="O49" s="15"/>
      <c r="P49" s="15"/>
      <c r="Q49" s="15"/>
      <c r="R49" s="15"/>
      <c r="S49" s="15"/>
      <c r="T49" s="15"/>
    </row>
    <row r="50" spans="1:20" x14ac:dyDescent="0.25">
      <c r="A50" s="15"/>
      <c r="B50" s="15"/>
      <c r="C50" s="15"/>
      <c r="D50" s="15"/>
      <c r="E50" s="15"/>
      <c r="F50" s="15"/>
      <c r="G50" s="15"/>
      <c r="H50" s="15"/>
      <c r="I50" s="15"/>
      <c r="J50" s="15"/>
      <c r="K50" s="15"/>
      <c r="L50" s="15"/>
      <c r="M50" s="15"/>
      <c r="N50" s="15"/>
      <c r="O50" s="15"/>
      <c r="P50" s="15"/>
      <c r="Q50" s="15"/>
      <c r="R50" s="15"/>
      <c r="S50" s="15"/>
      <c r="T50" s="15"/>
    </row>
    <row r="51" spans="1:20" x14ac:dyDescent="0.25">
      <c r="A51" s="15"/>
      <c r="B51" s="15"/>
      <c r="C51" s="15"/>
      <c r="D51" s="15"/>
      <c r="E51" s="15"/>
      <c r="F51" s="15"/>
      <c r="G51" s="15"/>
      <c r="H51" s="15"/>
      <c r="I51" s="15"/>
      <c r="J51" s="15"/>
      <c r="K51" s="15"/>
      <c r="L51" s="15"/>
      <c r="M51" s="15"/>
      <c r="N51" s="15"/>
      <c r="O51" s="15"/>
      <c r="P51" s="15"/>
      <c r="Q51" s="15"/>
      <c r="R51" s="15"/>
      <c r="S51" s="15"/>
      <c r="T51" s="15"/>
    </row>
    <row r="52" spans="1:20" x14ac:dyDescent="0.25">
      <c r="A52" s="15"/>
      <c r="B52" s="15"/>
      <c r="C52" s="15"/>
      <c r="D52" s="15"/>
      <c r="E52" s="15"/>
      <c r="F52" s="15"/>
      <c r="G52" s="15"/>
      <c r="H52" s="15"/>
      <c r="I52" s="15"/>
      <c r="J52" s="15"/>
      <c r="K52" s="15"/>
      <c r="L52" s="15"/>
      <c r="M52" s="15"/>
      <c r="N52" s="15"/>
      <c r="O52" s="15"/>
      <c r="P52" s="15"/>
      <c r="Q52" s="15"/>
      <c r="R52" s="15"/>
      <c r="S52" s="15"/>
      <c r="T5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1E06-B0BB-4617-90B9-646509F6674D}">
  <sheetPr codeName="Sheet3"/>
  <dimension ref="A1:F6"/>
  <sheetViews>
    <sheetView topLeftCell="B1" zoomScale="73" zoomScaleNormal="103" workbookViewId="0">
      <selection activeCell="G2" sqref="G2"/>
    </sheetView>
  </sheetViews>
  <sheetFormatPr defaultRowHeight="13.8" x14ac:dyDescent="0.25"/>
  <cols>
    <col min="1" max="4" width="12.69921875" customWidth="1"/>
    <col min="5" max="5" width="42.69921875" customWidth="1"/>
    <col min="6" max="6" width="12.69921875" customWidth="1"/>
  </cols>
  <sheetData>
    <row r="1" spans="1:6" x14ac:dyDescent="0.25">
      <c r="A1" s="10"/>
      <c r="B1" s="2"/>
      <c r="C1" s="10"/>
      <c r="D1" s="10"/>
      <c r="E1" s="10"/>
      <c r="F1" s="10"/>
    </row>
    <row r="2" spans="1:6" ht="403.2" x14ac:dyDescent="0.25">
      <c r="A2" s="9"/>
      <c r="E2" s="17" t="s">
        <v>52</v>
      </c>
    </row>
    <row r="3" spans="1:6" x14ac:dyDescent="0.25">
      <c r="A3" s="9"/>
    </row>
    <row r="4" spans="1:6" x14ac:dyDescent="0.25">
      <c r="A4" s="9"/>
    </row>
    <row r="5" spans="1:6" x14ac:dyDescent="0.25">
      <c r="A5" s="9"/>
    </row>
    <row r="6" spans="1:6" ht="23.4" x14ac:dyDescent="0.25">
      <c r="A6" s="9"/>
      <c r="E6"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Analysis_Table</vt:lpstr>
      <vt:lpstr>Pivots' Tables</vt:lpstr>
      <vt:lpstr>DASHBOARD</vt:lpstr>
      <vt:lpstr>Insight Stats</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nainika</dc:creator>
  <cp:lastModifiedBy>Nainika Khanna</cp:lastModifiedBy>
  <dcterms:created xsi:type="dcterms:W3CDTF">2026-04-15T12:48:22Z</dcterms:created>
  <dcterms:modified xsi:type="dcterms:W3CDTF">2026-04-23T17:28:45Z</dcterms:modified>
</cp:coreProperties>
</file>